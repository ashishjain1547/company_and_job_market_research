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<sst xmlns="http://schemas.openxmlformats.org/spreadsheetml/2006/main" count="418" uniqueCount="250">
  <si>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</si>
  <si>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</si>
  <si>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</si>
  <si>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</si>
  <si>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</si>
  <si>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</si>
  <si>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</si>
  <si>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</si>
  <si>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</si>
  <si>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</si>
  <si>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</si>
  <si>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</si>
  <si>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</si>
  <si>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</si>
  <si>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</si>
  <si>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</si>
  <si>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</si>
  <si>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</si>
  <si>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</si>
  <si>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</si>
  <si>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</si>
  <si>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</si>
  <si>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</si>
  <si>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</si>
  <si>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</si>
  <si>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My YOE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</si>
  <si>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</si>
  <si>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</si>
  <si>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</si>
  <si>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</si>
  <si>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</si>
  <si>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</si>
  <si>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</si>
  <si>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</si>
  <si>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</si>
  <si>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</si>
  <si>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</si>
  <si>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</si>
  <si>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</si>
  <si>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</si>
  <si>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</si>
  <si>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</si>
  <si>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</si>
  <si>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</si>
  <si>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</si>
  <si>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</si>
  <si>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</si>
  <si>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</si>
  <si>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</si>
  <si>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</si>
  <si>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</si>
  <si>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</si>
  <si>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</si>
  <si>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</si>
  <si>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</si>
  <si>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</si>
  <si>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</si>
  <si>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</si>
  <si>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</si>
  <si>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</si>
  <si>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</si>
  <si>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</si>
  <si>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</si>
  <si>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</si>
  <si>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</si>
  <si>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</si>
  <si>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</si>
  <si>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</si>
  <si>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</si>
  <si>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</si>
  <si>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IBM</t>
  </si>
  <si>
    <t xml:space="preserve">https://www.ambitionbox.com/reviews/ibm-reviews</t>
  </si>
  <si>
    <t xml:space="preserve">$67.54 billion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</si>
  <si>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</si>
  <si>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</si>
  <si>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</si>
  <si>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</si>
  <si>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</si>
  <si>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</si>
  <si>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</si>
  <si>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</si>
  <si>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</si>
  <si>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</si>
  <si>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</si>
  <si>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</si>
  <si>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</si>
  <si>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</si>
  <si>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</si>
  <si>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</si>
  <si>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</si>
  <si>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</si>
  <si>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</si>
  <si>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</si>
  <si>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</si>
  <si>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</si>
  <si>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</si>
  <si>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</si>
  <si>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</si>
  <si>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</si>
  <si>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</si>
  <si>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</si>
  <si>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</si>
  <si>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</si>
  <si>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</si>
  <si>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</si>
  <si>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</si>
  <si>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</si>
  <si>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</si>
  <si>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</si>
  <si>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</si>
  <si>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</si>
  <si>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</si>
  <si>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</si>
  <si>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</si>
  <si>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</si>
  <si>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</si>
  <si>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</si>
  <si>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</si>
  <si>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</si>
  <si>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</si>
  <si>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</si>
  <si>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</si>
  <si>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</si>
  <si>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</si>
  <si>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</si>
  <si>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</si>
  <si>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</si>
  <si>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</si>
  <si>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</si>
  <si>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</si>
  <si>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</si>
  <si>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</si>
  <si>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</si>
  <si>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</si>
  <si>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</si>
  <si>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</si>
  <si>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</si>
  <si>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</si>
  <si>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</si>
  <si>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</si>
  <si>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</si>
  <si>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</si>
  <si>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</si>
  <si>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</si>
  <si>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</si>
  <si>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</si>
  <si>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</si>
  <si>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</si>
  <si>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</si>
  <si>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</si>
  <si>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</si>
  <si>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</si>
  <si>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</si>
  <si>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</si>
  <si>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</si>
  <si>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</si>
  <si>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</si>
  <si>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</si>
  <si>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</si>
  <si>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</si>
  <si>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</si>
  <si>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</si>
  <si>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</si>
  <si>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</si>
  <si>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</si>
  <si>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</si>
  <si>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</si>
  <si>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</si>
  <si>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</si>
  <si>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</si>
  <si>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</si>
  <si>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</si>
  <si>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</si>
  <si>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</si>
  <si>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</si>
  <si>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</si>
  <si>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</si>
  <si>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</si>
  <si>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</si>
  <si>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</si>
  <si>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</si>
  <si>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</si>
  <si>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</si>
  <si>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</si>
  <si>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</si>
  <si>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</si>
  <si>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</si>
  <si>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</si>
  <si>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</si>
  <si>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</si>
  <si>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</si>
  <si>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</si>
  <si>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</si>
  <si>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</si>
  <si>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</si>
  <si>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</si>
  <si>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</si>
  <si>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</si>
  <si>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</si>
  <si>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</si>
  <si>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</si>
  <si>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</si>
  <si>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Data Science Manager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</si>
  <si>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</si>
  <si>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</si>
  <si>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</si>
  <si>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</si>
  <si>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</si>
  <si>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</si>
  <si>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</si>
  <si>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</si>
  <si>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</si>
  <si>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</si>
  <si>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</si>
  <si>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</si>
  <si>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</si>
  <si>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</si>
  <si>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</si>
  <si>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</si>
  <si>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</si>
  <si>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</si>
  <si>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</si>
  <si>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</si>
  <si>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</si>
  <si>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Associate Solution 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</si>
  <si>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</si>
  <si>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</si>
  <si>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</si>
  <si>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</si>
  <si>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 (USA)</t>
  </si>
  <si>
    <t xml:space="preserve">$1.8 billion</t>
  </si>
  <si>
    <t xml:space="preserve">Associate Engineering 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</si>
  <si>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</si>
  <si>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</si>
  <si>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</si>
  <si>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</si>
  <si>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</si>
  <si>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$8.4 billion</t>
  </si>
  <si>
    <t xml:space="preserve">Data Analytics 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</si>
  <si>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</si>
  <si>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</si>
  <si>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</si>
  <si>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</si>
  <si>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</t>
  </si>
  <si>
    <t xml:space="preserve">$7.5 billion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</si>
  <si>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</si>
  <si>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</si>
  <si>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</si>
  <si>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</si>
  <si>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$53.2 billion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</si>
</sst>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29" activePane="bottomLeft" state="frozen"/>
      <selection pane="topLeft" activeCell="A1" activeCellId="0" sqref="A1"/>
      <selection pane="bottomLeft" activeCell="B50" activeCellId="0" sqref="B5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5.78"/>
    <col collapsed="false" customWidth="true" hidden="false" outlineLevel="0" max="2" min="2" style="1" width="24.36"/>
    <col collapsed="false" customWidth="true" hidden="false" outlineLevel="0" max="5" min="5" style="0" width="6.13"/>
    <col collapsed="false" customWidth="true" hidden="false" outlineLevel="0" max="6" min="6" style="1" width="5.36"/>
    <col collapsed="false" customWidth="true" hidden="false" outlineLevel="0" max="7" min="7" style="1" width="11.95"/>
    <col collapsed="false" customWidth="true" hidden="false" outlineLevel="0" max="9" min="8" style="0" width="6.43"/>
    <col collapsed="false" customWidth="true" hidden="false" outlineLevel="0" max="10" min="10" style="0" width="8.12"/>
    <col collapsed="false" customWidth="true" hidden="false" outlineLevel="0" max="11" min="11" style="0" width="7.81"/>
    <col collapsed="false" customWidth="true" hidden="false" outlineLevel="0" max="12" min="12" style="0" width="7.96"/>
    <col collapsed="false" customWidth="true" hidden="false" outlineLevel="0" max="13" min="13" style="0" width="7.81"/>
    <col collapsed="false" customWidth="true" hidden="false" outlineLevel="0" max="14" min="14" style="0" width="7.35"/>
    <col collapsed="false" customWidth="true" hidden="false" outlineLevel="0" max="15" min="15" style="1" width="6.59"/>
    <col collapsed="false" customWidth="true" hidden="false" outlineLevel="0" max="18" min="18" style="1" width="6.74"/>
    <col collapsed="false" customWidth="true" hidden="false" outlineLevel="0" max="20" min="20" style="1" width="5.82"/>
    <col collapsed="false" customWidth="true" hidden="false" outlineLevel="0" max="21" min="21" style="1" width="5.66"/>
    <col collapsed="false" customWidth="true" hidden="false" outlineLevel="0" max="22" min="22" style="1" width="5.51"/>
    <col collapsed="false" customWidth="true" hidden="false" outlineLevel="0" max="23" min="23" style="0" width="13.48"/>
    <col collapsed="false" customWidth="true" hidden="false" outlineLevel="0" max="24" min="24" style="0" width="15.68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15" hidden="false" customHeight="false" outlineLevel="0" collapsed="false">
      <c r="A2" s="1" t="s">
        <v>26</v>
      </c>
      <c r="B2" s="1" t="s">
        <v>27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28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29</v>
      </c>
      <c r="S2" s="1" t="s">
        <v>30</v>
      </c>
      <c r="U2" s="1" t="s">
        <v>31</v>
      </c>
      <c r="V2" s="1" t="s">
        <v>32</v>
      </c>
      <c r="W2" s="1" t="s">
        <v>33</v>
      </c>
      <c r="Z2" s="0" t="n">
        <v>13</v>
      </c>
    </row>
    <row r="3" customFormat="false" ht="15" hidden="false" customHeight="false" outlineLevel="0" collapsed="false">
      <c r="A3" s="1" t="s">
        <v>26</v>
      </c>
      <c r="B3" s="1" t="s">
        <v>34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35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36</v>
      </c>
      <c r="S3" s="1" t="s">
        <v>37</v>
      </c>
      <c r="W3" s="1" t="s">
        <v>38</v>
      </c>
      <c r="Z3" s="0" t="n">
        <v>13</v>
      </c>
    </row>
    <row r="4" customFormat="false" ht="15" hidden="false" customHeight="false" outlineLevel="0" collapsed="false">
      <c r="A4" s="1" t="s">
        <v>26</v>
      </c>
      <c r="B4" s="1" t="s">
        <v>39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40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41</v>
      </c>
      <c r="S4" s="1" t="s">
        <v>37</v>
      </c>
      <c r="T4" s="1" t="s">
        <v>42</v>
      </c>
      <c r="W4" s="1" t="s">
        <v>43</v>
      </c>
      <c r="Z4" s="0" t="n">
        <v>13</v>
      </c>
    </row>
    <row r="5" customFormat="false" ht="15" hidden="false" customHeight="false" outlineLevel="0" collapsed="false">
      <c r="A5" s="1" t="s">
        <v>26</v>
      </c>
      <c r="B5" s="1" t="s">
        <v>44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-2</v>
      </c>
      <c r="G5" s="1" t="s">
        <v>45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46</v>
      </c>
      <c r="S5" s="1" t="s">
        <v>37</v>
      </c>
      <c r="T5" s="1" t="s">
        <v>47</v>
      </c>
      <c r="W5" s="1" t="s">
        <v>48</v>
      </c>
      <c r="Z5" s="0" t="n">
        <v>13</v>
      </c>
    </row>
    <row r="6" customFormat="false" ht="15" hidden="false" customHeight="false" outlineLevel="0" collapsed="false">
      <c r="A6" s="1" t="s">
        <v>26</v>
      </c>
      <c r="B6" s="1" t="s">
        <v>49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50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51</v>
      </c>
      <c r="S6" s="1" t="s">
        <v>37</v>
      </c>
      <c r="T6" s="1" t="s">
        <v>52</v>
      </c>
      <c r="W6" s="1" t="s">
        <v>53</v>
      </c>
      <c r="Z6" s="0" t="n">
        <v>13</v>
      </c>
    </row>
    <row r="7" customFormat="false" ht="15" hidden="false" customHeight="false" outlineLevel="0" collapsed="false">
      <c r="A7" s="1" t="s">
        <v>26</v>
      </c>
      <c r="B7" s="1" t="s">
        <v>54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55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56</v>
      </c>
      <c r="S7" s="1" t="s">
        <v>57</v>
      </c>
      <c r="T7" s="1" t="s">
        <v>58</v>
      </c>
      <c r="W7" s="1" t="s">
        <v>59</v>
      </c>
      <c r="Z7" s="0" t="n">
        <v>13</v>
      </c>
    </row>
    <row r="8" customFormat="false" ht="15" hidden="false" customHeight="false" outlineLevel="0" collapsed="false">
      <c r="A8" s="1" t="s">
        <v>60</v>
      </c>
      <c r="B8" s="1" t="s">
        <v>61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62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63</v>
      </c>
      <c r="S8" s="1" t="s">
        <v>37</v>
      </c>
      <c r="W8" s="1" t="s">
        <v>64</v>
      </c>
      <c r="Z8" s="0" t="n">
        <v>13</v>
      </c>
    </row>
    <row r="9" customFormat="false" ht="15" hidden="false" customHeight="false" outlineLevel="0" collapsed="false">
      <c r="A9" s="1" t="s">
        <v>65</v>
      </c>
      <c r="B9" s="1" t="s">
        <v>66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1</v>
      </c>
      <c r="G9" s="1" t="s">
        <v>67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68</v>
      </c>
      <c r="S9" s="1" t="s">
        <v>37</v>
      </c>
      <c r="W9" s="1" t="s">
        <v>69</v>
      </c>
      <c r="Z9" s="0" t="n">
        <v>13</v>
      </c>
    </row>
    <row r="10" customFormat="false" ht="15" hidden="false" customHeight="false" outlineLevel="0" collapsed="false">
      <c r="A10" s="1" t="s">
        <v>65</v>
      </c>
      <c r="B10" s="1" t="s">
        <v>70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71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68</v>
      </c>
      <c r="S10" s="1" t="s">
        <v>37</v>
      </c>
      <c r="T10" s="1" t="s">
        <v>57</v>
      </c>
      <c r="W10" s="1" t="s">
        <v>72</v>
      </c>
      <c r="Z10" s="0" t="n">
        <v>13</v>
      </c>
    </row>
    <row r="11" customFormat="false" ht="15" hidden="false" customHeight="false" outlineLevel="0" collapsed="false">
      <c r="A11" s="1" t="s">
        <v>73</v>
      </c>
      <c r="B11" s="1" t="s">
        <v>74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75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76</v>
      </c>
      <c r="S11" s="1" t="s">
        <v>77</v>
      </c>
      <c r="T11" s="1" t="s">
        <v>37</v>
      </c>
      <c r="W11" s="1" t="s">
        <v>78</v>
      </c>
      <c r="Z11" s="0" t="n">
        <v>13</v>
      </c>
    </row>
    <row r="12" customFormat="false" ht="15" hidden="false" customHeight="false" outlineLevel="0" collapsed="false">
      <c r="A12" s="1" t="s">
        <v>73</v>
      </c>
      <c r="B12" s="1" t="s">
        <v>79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80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81</v>
      </c>
      <c r="S12" s="1" t="s">
        <v>37</v>
      </c>
      <c r="T12" s="1" t="s">
        <v>57</v>
      </c>
      <c r="W12" s="1" t="s">
        <v>82</v>
      </c>
      <c r="Z12" s="0" t="n">
        <v>13</v>
      </c>
    </row>
    <row r="13" customFormat="false" ht="15" hidden="false" customHeight="false" outlineLevel="0" collapsed="false">
      <c r="A13" s="1" t="s">
        <v>73</v>
      </c>
      <c r="B13" s="1" t="s">
        <v>83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84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85</v>
      </c>
      <c r="S13" s="1" t="s">
        <v>37</v>
      </c>
      <c r="T13" s="1" t="s">
        <v>86</v>
      </c>
      <c r="W13" s="1" t="s">
        <v>87</v>
      </c>
      <c r="Z13" s="0" t="n">
        <v>13</v>
      </c>
    </row>
    <row r="14" customFormat="false" ht="15" hidden="false" customHeight="false" outlineLevel="0" collapsed="false">
      <c r="A14" s="1" t="s">
        <v>88</v>
      </c>
      <c r="B14" s="1" t="s">
        <v>89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90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91</v>
      </c>
      <c r="S14" s="1" t="s">
        <v>77</v>
      </c>
      <c r="T14" s="1" t="s">
        <v>37</v>
      </c>
      <c r="W14" s="1" t="s">
        <v>92</v>
      </c>
      <c r="Z14" s="0" t="n">
        <v>13</v>
      </c>
    </row>
    <row r="15" customFormat="false" ht="15" hidden="false" customHeight="false" outlineLevel="0" collapsed="false">
      <c r="A15" s="1" t="s">
        <v>88</v>
      </c>
      <c r="B15" s="1" t="s">
        <v>93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94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95</v>
      </c>
      <c r="S15" s="1" t="s">
        <v>77</v>
      </c>
      <c r="T15" s="1" t="s">
        <v>96</v>
      </c>
      <c r="W15" s="1" t="s">
        <v>97</v>
      </c>
      <c r="Z15" s="0" t="n">
        <v>13</v>
      </c>
    </row>
    <row r="16" customFormat="false" ht="15" hidden="false" customHeight="false" outlineLevel="0" collapsed="false">
      <c r="A16" s="1" t="s">
        <v>88</v>
      </c>
      <c r="B16" s="1" t="s">
        <v>98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99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100</v>
      </c>
      <c r="S16" s="1" t="s">
        <v>101</v>
      </c>
      <c r="T16" s="1" t="s">
        <v>52</v>
      </c>
      <c r="W16" s="1" t="s">
        <v>102</v>
      </c>
      <c r="Z16" s="0" t="n">
        <v>13</v>
      </c>
    </row>
    <row r="17" customFormat="false" ht="15" hidden="false" customHeight="false" outlineLevel="0" collapsed="false">
      <c r="A17" s="1" t="s">
        <v>88</v>
      </c>
      <c r="B17" s="1" t="s">
        <v>103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28</v>
      </c>
      <c r="G17" s="1" t="s">
        <v>104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105</v>
      </c>
      <c r="S17" s="1" t="s">
        <v>37</v>
      </c>
      <c r="W17" s="1" t="s">
        <v>106</v>
      </c>
      <c r="Z17" s="0" t="n">
        <v>13</v>
      </c>
    </row>
    <row r="18" customFormat="false" ht="15" hidden="false" customHeight="false" outlineLevel="0" collapsed="false">
      <c r="A18" s="1" t="s">
        <v>88</v>
      </c>
      <c r="B18" s="1" t="s">
        <v>107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108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109</v>
      </c>
      <c r="S18" s="1" t="s">
        <v>42</v>
      </c>
      <c r="T18" s="1" t="s">
        <v>57</v>
      </c>
      <c r="W18" s="1" t="s">
        <v>110</v>
      </c>
      <c r="Z18" s="0" t="n">
        <v>13</v>
      </c>
    </row>
    <row r="19" customFormat="false" ht="15" hidden="false" customHeight="false" outlineLevel="0" collapsed="false">
      <c r="A19" s="1" t="s">
        <v>88</v>
      </c>
      <c r="B19" s="1" t="s">
        <v>111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20</v>
      </c>
      <c r="G19" s="1" t="s">
        <v>112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113</v>
      </c>
      <c r="S19" s="1" t="s">
        <v>114</v>
      </c>
      <c r="W19" s="1" t="s">
        <v>115</v>
      </c>
      <c r="Z19" s="0" t="n">
        <v>13</v>
      </c>
    </row>
    <row r="20" customFormat="false" ht="15" hidden="false" customHeight="false" outlineLevel="0" collapsed="false">
      <c r="A20" s="1" t="s">
        <v>88</v>
      </c>
      <c r="B20" s="1" t="s">
        <v>116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117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118</v>
      </c>
      <c r="S20" s="1" t="s">
        <v>52</v>
      </c>
      <c r="W20" s="1" t="s">
        <v>119</v>
      </c>
      <c r="Z20" s="0" t="n">
        <v>13</v>
      </c>
    </row>
    <row r="21" customFormat="false" ht="15" hidden="false" customHeight="false" outlineLevel="0" collapsed="false">
      <c r="A21" s="1" t="s">
        <v>120</v>
      </c>
      <c r="B21" s="1" t="s">
        <v>121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-2</v>
      </c>
      <c r="G21" s="1" t="s">
        <v>122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123</v>
      </c>
      <c r="S21" s="1" t="s">
        <v>114</v>
      </c>
      <c r="W21" s="1" t="s">
        <v>124</v>
      </c>
      <c r="Z21" s="0" t="n">
        <v>13</v>
      </c>
    </row>
    <row r="22" customFormat="false" ht="15" hidden="false" customHeight="false" outlineLevel="0" collapsed="false">
      <c r="A22" s="1" t="s">
        <v>120</v>
      </c>
      <c r="B22" s="1" t="s">
        <v>125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126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127</v>
      </c>
      <c r="S22" s="1" t="s">
        <v>128</v>
      </c>
      <c r="W22" s="1" t="s">
        <v>129</v>
      </c>
      <c r="Z22" s="0" t="n">
        <v>13</v>
      </c>
    </row>
    <row r="23" customFormat="false" ht="15" hidden="false" customHeight="false" outlineLevel="0" collapsed="false">
      <c r="A23" s="1" t="s">
        <v>130</v>
      </c>
      <c r="B23" s="1" t="s">
        <v>131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132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133</v>
      </c>
      <c r="S23" s="1" t="s">
        <v>134</v>
      </c>
      <c r="W23" s="1" t="s">
        <v>135</v>
      </c>
      <c r="Z23" s="0" t="n">
        <v>13</v>
      </c>
    </row>
    <row r="24" customFormat="false" ht="15" hidden="false" customHeight="false" outlineLevel="0" collapsed="false">
      <c r="A24" s="1" t="s">
        <v>130</v>
      </c>
      <c r="B24" s="1" t="s">
        <v>136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137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138</v>
      </c>
      <c r="S24" s="1" t="s">
        <v>139</v>
      </c>
      <c r="W24" s="1" t="s">
        <v>140</v>
      </c>
      <c r="Z24" s="0" t="n">
        <v>13</v>
      </c>
    </row>
    <row r="25" customFormat="false" ht="15" hidden="false" customHeight="false" outlineLevel="0" collapsed="false">
      <c r="A25" s="1" t="s">
        <v>130</v>
      </c>
      <c r="B25" s="1" t="s">
        <v>141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142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143</v>
      </c>
      <c r="S25" s="1" t="s">
        <v>37</v>
      </c>
      <c r="W25" s="1" t="s">
        <v>144</v>
      </c>
      <c r="Z25" s="0" t="n">
        <v>13</v>
      </c>
    </row>
    <row r="26" customFormat="false" ht="15" hidden="false" customHeight="false" outlineLevel="0" collapsed="false">
      <c r="A26" s="1" t="s">
        <v>145</v>
      </c>
      <c r="B26" s="1" t="s">
        <v>146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147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148</v>
      </c>
      <c r="S26" s="1" t="s">
        <v>37</v>
      </c>
      <c r="W26" s="1" t="s">
        <v>149</v>
      </c>
      <c r="Z26" s="0" t="n">
        <v>13</v>
      </c>
    </row>
    <row r="27" customFormat="false" ht="15" hidden="false" customHeight="false" outlineLevel="0" collapsed="false">
      <c r="A27" s="1" t="s">
        <v>145</v>
      </c>
      <c r="B27" s="1" t="s">
        <v>150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151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152</v>
      </c>
      <c r="S27" s="1" t="s">
        <v>153</v>
      </c>
      <c r="W27" s="1" t="s">
        <v>154</v>
      </c>
      <c r="Z27" s="0" t="n">
        <v>13</v>
      </c>
    </row>
    <row r="28" customFormat="false" ht="15" hidden="false" customHeight="false" outlineLevel="0" collapsed="false">
      <c r="A28" s="1" t="s">
        <v>145</v>
      </c>
      <c r="B28" s="1" t="s">
        <v>155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156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157</v>
      </c>
      <c r="S28" s="1" t="s">
        <v>153</v>
      </c>
      <c r="W28" s="1" t="s">
        <v>158</v>
      </c>
      <c r="Z28" s="0" t="n">
        <v>13</v>
      </c>
    </row>
    <row r="29" customFormat="false" ht="15" hidden="false" customHeight="false" outlineLevel="0" collapsed="false">
      <c r="A29" s="1" t="s">
        <v>145</v>
      </c>
      <c r="B29" s="1" t="s">
        <v>159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22</v>
      </c>
      <c r="G29" s="1" t="s">
        <v>160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161</v>
      </c>
      <c r="S29" s="1" t="s">
        <v>153</v>
      </c>
      <c r="W29" s="1" t="s">
        <v>162</v>
      </c>
      <c r="Z29" s="0" t="n">
        <v>13</v>
      </c>
    </row>
    <row r="30" customFormat="false" ht="15" hidden="false" customHeight="false" outlineLevel="0" collapsed="false">
      <c r="A30" s="1" t="s">
        <v>163</v>
      </c>
      <c r="B30" s="1" t="s">
        <v>164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165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166</v>
      </c>
      <c r="S30" s="1" t="s">
        <v>37</v>
      </c>
      <c r="W30" s="1" t="s">
        <v>64</v>
      </c>
      <c r="Z30" s="0" t="n">
        <v>13</v>
      </c>
    </row>
    <row r="31" customFormat="false" ht="15" hidden="false" customHeight="false" outlineLevel="0" collapsed="false">
      <c r="A31" s="1" t="s">
        <v>163</v>
      </c>
      <c r="B31" s="1" t="s">
        <v>167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-2</v>
      </c>
      <c r="G31" s="1" t="s">
        <v>168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169</v>
      </c>
      <c r="S31" s="1" t="s">
        <v>77</v>
      </c>
      <c r="W31" s="1" t="s">
        <v>170</v>
      </c>
      <c r="Z31" s="0" t="n">
        <v>13</v>
      </c>
    </row>
    <row r="32" customFormat="false" ht="15" hidden="false" customHeight="false" outlineLevel="0" collapsed="false">
      <c r="A32" s="1" t="s">
        <v>163</v>
      </c>
      <c r="B32" s="1" t="s">
        <v>171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172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173</v>
      </c>
      <c r="S32" s="1" t="s">
        <v>42</v>
      </c>
      <c r="W32" s="1" t="s">
        <v>174</v>
      </c>
      <c r="Z32" s="0" t="n">
        <v>13</v>
      </c>
    </row>
    <row r="33" customFormat="false" ht="15" hidden="false" customHeight="false" outlineLevel="0" collapsed="false">
      <c r="A33" s="1" t="s">
        <v>163</v>
      </c>
      <c r="B33" s="1" t="s">
        <v>175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-2</v>
      </c>
      <c r="G33" s="1" t="s">
        <v>176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177</v>
      </c>
      <c r="S33" s="1" t="s">
        <v>178</v>
      </c>
      <c r="W33" s="1" t="s">
        <v>179</v>
      </c>
      <c r="Z33" s="0" t="n">
        <v>13</v>
      </c>
    </row>
    <row r="34" customFormat="false" ht="15" hidden="false" customHeight="false" outlineLevel="0" collapsed="false">
      <c r="A34" s="1" t="s">
        <v>163</v>
      </c>
      <c r="B34" s="1" t="s">
        <v>180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181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182</v>
      </c>
      <c r="S34" s="1" t="s">
        <v>37</v>
      </c>
      <c r="W34" s="1" t="s">
        <v>183</v>
      </c>
      <c r="Z34" s="0" t="n">
        <v>13</v>
      </c>
    </row>
    <row r="35" customFormat="false" ht="15" hidden="false" customHeight="false" outlineLevel="0" collapsed="false">
      <c r="A35" s="1" t="s">
        <v>184</v>
      </c>
      <c r="B35" s="1" t="s">
        <v>185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9</v>
      </c>
      <c r="G35" s="1" t="s">
        <v>186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187</v>
      </c>
      <c r="S35" s="1" t="s">
        <v>37</v>
      </c>
      <c r="W35" s="1" t="s">
        <v>188</v>
      </c>
      <c r="Z35" s="0" t="n">
        <v>13</v>
      </c>
    </row>
    <row r="36" customFormat="false" ht="15" hidden="false" customHeight="false" outlineLevel="0" collapsed="false">
      <c r="A36" s="1" t="s">
        <v>189</v>
      </c>
      <c r="B36" s="1" t="s">
        <v>61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62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63</v>
      </c>
      <c r="S36" s="1" t="s">
        <v>37</v>
      </c>
      <c r="W36" s="1" t="s">
        <v>64</v>
      </c>
      <c r="Z36" s="0" t="n">
        <v>13</v>
      </c>
    </row>
    <row r="37" customFormat="false" ht="15" hidden="false" customHeight="false" outlineLevel="0" collapsed="false">
      <c r="A37" s="1" t="s">
        <v>189</v>
      </c>
      <c r="B37" s="1" t="s">
        <v>27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28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29</v>
      </c>
      <c r="S37" s="1" t="s">
        <v>30</v>
      </c>
      <c r="U37" s="1" t="s">
        <v>31</v>
      </c>
      <c r="V37" s="1" t="s">
        <v>32</v>
      </c>
      <c r="W37" s="1" t="s">
        <v>33</v>
      </c>
      <c r="Z37" s="0" t="n">
        <v>13</v>
      </c>
    </row>
    <row r="38" customFormat="false" ht="15" hidden="false" customHeight="false" outlineLevel="0" collapsed="false">
      <c r="A38" s="1" t="s">
        <v>189</v>
      </c>
      <c r="B38" s="1" t="s">
        <v>34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35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36</v>
      </c>
      <c r="S38" s="1" t="s">
        <v>37</v>
      </c>
      <c r="W38" s="1" t="s">
        <v>38</v>
      </c>
      <c r="Z38" s="0" t="n">
        <v>13</v>
      </c>
    </row>
    <row r="39" customFormat="false" ht="15" hidden="false" customHeight="false" outlineLevel="0" collapsed="false">
      <c r="A39" s="1" t="s">
        <v>189</v>
      </c>
      <c r="B39" s="1" t="s">
        <v>190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191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192</v>
      </c>
      <c r="S39" s="1" t="s">
        <v>37</v>
      </c>
      <c r="U39" s="3" t="s">
        <v>193</v>
      </c>
      <c r="W39" s="1" t="s">
        <v>194</v>
      </c>
      <c r="Z39" s="0" t="n">
        <v>13</v>
      </c>
    </row>
    <row r="40" customFormat="false" ht="15" hidden="false" customHeight="false" outlineLevel="0" collapsed="false">
      <c r="A40" s="1" t="s">
        <v>189</v>
      </c>
      <c r="B40" s="1" t="s">
        <v>195</v>
      </c>
      <c r="C40" s="1" t="s">
        <v>196</v>
      </c>
      <c r="D40" s="1" t="s">
        <v>196</v>
      </c>
      <c r="E40" s="1" t="s">
        <v>196</v>
      </c>
      <c r="F40" s="1" t="s">
        <v>196</v>
      </c>
      <c r="G40" s="1" t="s">
        <v>197</v>
      </c>
      <c r="H40" s="1" t="s">
        <v>196</v>
      </c>
      <c r="I40" s="1" t="s">
        <v>196</v>
      </c>
      <c r="J40" s="1" t="s">
        <v>196</v>
      </c>
      <c r="K40" s="1" t="s">
        <v>196</v>
      </c>
      <c r="L40" s="1" t="s">
        <v>196</v>
      </c>
      <c r="M40" s="1" t="s">
        <v>196</v>
      </c>
      <c r="N40" s="1" t="s">
        <v>196</v>
      </c>
      <c r="O40" s="1" t="n">
        <v>2017</v>
      </c>
      <c r="P40" s="1" t="s">
        <v>196</v>
      </c>
      <c r="Q40" s="1" t="n">
        <v>50</v>
      </c>
      <c r="R40" s="1" t="s">
        <v>198</v>
      </c>
      <c r="S40" s="1" t="s">
        <v>153</v>
      </c>
      <c r="U40" s="3" t="s">
        <v>199</v>
      </c>
      <c r="W40" s="1" t="s">
        <v>200</v>
      </c>
      <c r="Z40" s="0" t="n">
        <v>13</v>
      </c>
    </row>
    <row r="41" customFormat="false" ht="15" hidden="false" customHeight="false" outlineLevel="0" collapsed="false">
      <c r="A41" s="1" t="s">
        <v>189</v>
      </c>
      <c r="B41" s="1" t="s">
        <v>39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1</v>
      </c>
      <c r="G41" s="1" t="s">
        <v>40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41</v>
      </c>
      <c r="S41" s="1" t="s">
        <v>37</v>
      </c>
      <c r="T41" s="1" t="s">
        <v>42</v>
      </c>
      <c r="W41" s="1" t="s">
        <v>43</v>
      </c>
      <c r="Z41" s="0" t="n">
        <v>13</v>
      </c>
    </row>
    <row r="42" customFormat="false" ht="15" hidden="false" customHeight="false" outlineLevel="0" collapsed="false">
      <c r="A42" s="1" t="s">
        <v>189</v>
      </c>
      <c r="B42" s="1" t="s">
        <v>44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45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46</v>
      </c>
      <c r="S42" s="1" t="s">
        <v>37</v>
      </c>
      <c r="T42" s="1" t="s">
        <v>47</v>
      </c>
      <c r="W42" s="1" t="s">
        <v>48</v>
      </c>
      <c r="Z42" s="0" t="n">
        <v>13</v>
      </c>
    </row>
    <row r="43" customFormat="false" ht="15" hidden="false" customHeight="false" outlineLevel="0" collapsed="false">
      <c r="A43" s="1" t="s">
        <v>189</v>
      </c>
      <c r="B43" s="1" t="s">
        <v>70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71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68</v>
      </c>
      <c r="S43" s="1" t="s">
        <v>37</v>
      </c>
      <c r="T43" s="1" t="s">
        <v>57</v>
      </c>
      <c r="W43" s="1" t="s">
        <v>72</v>
      </c>
      <c r="Z43" s="0" t="n">
        <v>13</v>
      </c>
    </row>
    <row r="44" customFormat="false" ht="15" hidden="false" customHeight="false" outlineLevel="0" collapsed="false">
      <c r="A44" s="1" t="s">
        <v>189</v>
      </c>
      <c r="B44" s="1" t="s">
        <v>66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67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68</v>
      </c>
      <c r="S44" s="1" t="s">
        <v>37</v>
      </c>
      <c r="W44" s="1" t="s">
        <v>69</v>
      </c>
      <c r="Z44" s="0" t="n">
        <v>13</v>
      </c>
    </row>
    <row r="45" customFormat="false" ht="15" hidden="false" customHeight="false" outlineLevel="0" collapsed="false">
      <c r="A45" s="1" t="s">
        <v>201</v>
      </c>
      <c r="B45" s="1" t="s">
        <v>49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8</v>
      </c>
      <c r="G45" s="1" t="s">
        <v>50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51</v>
      </c>
      <c r="S45" s="1" t="s">
        <v>37</v>
      </c>
      <c r="T45" s="1" t="s">
        <v>52</v>
      </c>
      <c r="W45" s="1" t="s">
        <v>53</v>
      </c>
      <c r="Z45" s="0" t="n">
        <v>13</v>
      </c>
    </row>
    <row r="46" customFormat="false" ht="15" hidden="false" customHeight="false" outlineLevel="0" collapsed="false">
      <c r="A46" s="1" t="s">
        <v>201</v>
      </c>
      <c r="B46" s="1" t="s">
        <v>54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55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56</v>
      </c>
      <c r="S46" s="1" t="s">
        <v>57</v>
      </c>
      <c r="T46" s="1" t="s">
        <v>58</v>
      </c>
      <c r="W46" s="1" t="s">
        <v>59</v>
      </c>
      <c r="X46" s="4" t="s">
        <v>202</v>
      </c>
      <c r="Y46" s="0" t="n">
        <v>40.6</v>
      </c>
      <c r="Z46" s="0" t="n">
        <v>13</v>
      </c>
    </row>
    <row r="47" customFormat="false" ht="15" hidden="false" customHeight="false" outlineLevel="0" collapsed="false">
      <c r="A47" s="1" t="s">
        <v>201</v>
      </c>
      <c r="B47" s="1" t="s">
        <v>74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-19</v>
      </c>
      <c r="G47" s="1" t="s">
        <v>75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76</v>
      </c>
      <c r="S47" s="1" t="s">
        <v>77</v>
      </c>
      <c r="T47" s="1" t="s">
        <v>37</v>
      </c>
      <c r="W47" s="1" t="s">
        <v>78</v>
      </c>
      <c r="Z47" s="0" t="n">
        <v>13</v>
      </c>
    </row>
    <row r="48" customFormat="false" ht="15" hidden="false" customHeight="false" outlineLevel="0" collapsed="false">
      <c r="A48" s="1" t="s">
        <v>201</v>
      </c>
      <c r="B48" s="1" t="s">
        <v>203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204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205</v>
      </c>
      <c r="S48" s="1" t="s">
        <v>153</v>
      </c>
      <c r="U48" s="1" t="s">
        <v>206</v>
      </c>
      <c r="W48" s="3" t="s">
        <v>207</v>
      </c>
      <c r="Z48" s="0" t="n">
        <v>13</v>
      </c>
    </row>
    <row r="49" customFormat="false" ht="15" hidden="false" customHeight="false" outlineLevel="0" collapsed="false">
      <c r="A49" s="1" t="s">
        <v>201</v>
      </c>
      <c r="B49" s="1" t="s">
        <v>208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209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210</v>
      </c>
      <c r="S49" s="1" t="s">
        <v>37</v>
      </c>
      <c r="U49" s="1" t="s">
        <v>211</v>
      </c>
      <c r="W49" s="3" t="s">
        <v>212</v>
      </c>
      <c r="Z49" s="0" t="n">
        <v>13</v>
      </c>
    </row>
    <row r="50" customFormat="false" ht="15" hidden="false" customHeight="false" outlineLevel="0" collapsed="false">
      <c r="A50" s="1" t="s">
        <v>201</v>
      </c>
      <c r="B50" s="1" t="s">
        <v>213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214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215</v>
      </c>
      <c r="S50" s="1" t="s">
        <v>37</v>
      </c>
      <c r="T50" s="1" t="s">
        <v>114</v>
      </c>
      <c r="U50" s="1" t="s">
        <v>216</v>
      </c>
      <c r="W50" s="3" t="s">
        <v>217</v>
      </c>
      <c r="Z50" s="0" t="n">
        <v>13</v>
      </c>
    </row>
    <row r="51" customFormat="false" ht="15" hidden="false" customHeight="false" outlineLevel="0" collapsed="false">
      <c r="A51" s="1" t="s">
        <v>201</v>
      </c>
      <c r="B51" s="1" t="s">
        <v>218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219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220</v>
      </c>
      <c r="S51" s="1" t="s">
        <v>114</v>
      </c>
      <c r="T51" s="1" t="s">
        <v>221</v>
      </c>
      <c r="U51" s="1" t="s">
        <v>222</v>
      </c>
      <c r="W51" s="3" t="s">
        <v>223</v>
      </c>
      <c r="X51" s="4" t="s">
        <v>224</v>
      </c>
      <c r="Y51" s="0" t="n">
        <v>22.8</v>
      </c>
      <c r="Z51" s="0" t="n">
        <v>13</v>
      </c>
    </row>
    <row r="52" customFormat="false" ht="15" hidden="false" customHeight="false" outlineLevel="0" collapsed="false">
      <c r="A52" s="1" t="s">
        <v>225</v>
      </c>
      <c r="B52" s="1" t="s">
        <v>226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3" t="s">
        <v>227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3" t="s">
        <v>228</v>
      </c>
      <c r="S52" s="3" t="s">
        <v>37</v>
      </c>
      <c r="U52" s="3" t="s">
        <v>229</v>
      </c>
      <c r="W52" s="3" t="s">
        <v>230</v>
      </c>
      <c r="X52" s="4" t="s">
        <v>231</v>
      </c>
      <c r="Y52" s="0" t="n">
        <v>24.1</v>
      </c>
      <c r="Z52" s="0" t="n">
        <v>13</v>
      </c>
    </row>
    <row r="53" customFormat="false" ht="15" hidden="false" customHeight="false" outlineLevel="0" collapsed="false">
      <c r="A53" s="1" t="s">
        <v>225</v>
      </c>
      <c r="B53" s="1" t="s">
        <v>195</v>
      </c>
      <c r="C53" s="1" t="n">
        <v>4.3</v>
      </c>
      <c r="D53" s="1" t="n">
        <v>19</v>
      </c>
      <c r="E53" s="3" t="s">
        <v>196</v>
      </c>
      <c r="F53" s="1" t="n">
        <f aca="false">ROUND((C53-AVERAGE(C2:C251))/AVERAGE(C2:C251) * 100,0)</f>
        <v>17</v>
      </c>
      <c r="G53" s="3" t="s">
        <v>232</v>
      </c>
      <c r="H53" s="1" t="n">
        <v>4.5</v>
      </c>
      <c r="I53" s="1" t="n">
        <v>3.8</v>
      </c>
      <c r="J53" s="1" t="n">
        <v>4.2</v>
      </c>
      <c r="K53" s="3" t="s">
        <v>196</v>
      </c>
      <c r="L53" s="3" t="s">
        <v>196</v>
      </c>
      <c r="M53" s="3" t="s">
        <v>196</v>
      </c>
      <c r="N53" s="3" t="s">
        <v>196</v>
      </c>
      <c r="O53" s="1" t="n">
        <v>2017</v>
      </c>
      <c r="P53" s="3" t="s">
        <v>196</v>
      </c>
      <c r="Q53" s="1" t="n">
        <v>50</v>
      </c>
      <c r="R53" s="3" t="s">
        <v>198</v>
      </c>
      <c r="S53" s="3" t="s">
        <v>153</v>
      </c>
      <c r="U53" s="3" t="s">
        <v>199</v>
      </c>
      <c r="W53" s="3" t="s">
        <v>200</v>
      </c>
      <c r="X53" s="4" t="s">
        <v>196</v>
      </c>
      <c r="Y53" s="4" t="s">
        <v>196</v>
      </c>
      <c r="Z53" s="0" t="n">
        <v>13</v>
      </c>
    </row>
    <row r="54" customFormat="false" ht="15" hidden="false" customHeight="false" outlineLevel="0" collapsed="false">
      <c r="A54" s="1" t="s">
        <v>233</v>
      </c>
      <c r="B54" s="1" t="s">
        <v>234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235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236</v>
      </c>
      <c r="S54" s="1" t="s">
        <v>37</v>
      </c>
      <c r="W54" s="3" t="s">
        <v>237</v>
      </c>
      <c r="X54" s="4" t="s">
        <v>238</v>
      </c>
      <c r="Y54" s="0" t="n">
        <v>26.3</v>
      </c>
      <c r="Z54" s="0" t="n">
        <v>13</v>
      </c>
    </row>
    <row r="55" customFormat="false" ht="15" hidden="false" customHeight="false" outlineLevel="0" collapsed="false">
      <c r="A55" s="1" t="s">
        <v>239</v>
      </c>
      <c r="B55" s="1" t="s">
        <v>240</v>
      </c>
      <c r="C55" s="0" t="n">
        <v>3.7</v>
      </c>
      <c r="D55" s="0" t="n">
        <v>352</v>
      </c>
      <c r="E55" s="0" t="n">
        <v>3</v>
      </c>
      <c r="F55" s="1" t="n">
        <f aca="false">ROUND((C55-AVERAGE(C2:C253))/AVERAGE(C2:C253) * 100,0)</f>
        <v>1</v>
      </c>
      <c r="G55" s="1" t="s">
        <v>241</v>
      </c>
      <c r="H55" s="0" t="n">
        <v>3.8</v>
      </c>
      <c r="I55" s="0" t="n">
        <v>3.8</v>
      </c>
      <c r="J55" s="0" t="n">
        <v>3.4</v>
      </c>
      <c r="K55" s="0" t="n">
        <v>3.4</v>
      </c>
      <c r="L55" s="0" t="n">
        <v>3.5</v>
      </c>
      <c r="M55" s="0" t="n">
        <v>3.6</v>
      </c>
      <c r="N55" s="0" t="n">
        <v>3.3</v>
      </c>
      <c r="O55" s="1" t="n">
        <v>1973</v>
      </c>
      <c r="P55" s="0" t="n">
        <v>3500</v>
      </c>
      <c r="Q55" s="0" t="n">
        <v>23000</v>
      </c>
      <c r="R55" s="1" t="s">
        <v>242</v>
      </c>
      <c r="S55" s="4" t="s">
        <v>77</v>
      </c>
      <c r="T55" s="1" t="s">
        <v>47</v>
      </c>
      <c r="U55" s="1" t="s">
        <v>243</v>
      </c>
      <c r="W55" s="4" t="s">
        <v>244</v>
      </c>
      <c r="X55" s="4" t="s">
        <v>202</v>
      </c>
      <c r="Y55" s="0" t="n">
        <v>37.8</v>
      </c>
      <c r="Z55" s="0" t="n">
        <v>13</v>
      </c>
    </row>
    <row r="56" customFormat="false" ht="15" hidden="false" customHeight="false" outlineLevel="0" collapsed="false">
      <c r="A56" s="1" t="s">
        <v>239</v>
      </c>
      <c r="B56" s="1" t="s">
        <v>245</v>
      </c>
      <c r="C56" s="0" t="n">
        <v>3.4</v>
      </c>
      <c r="D56" s="0" t="n">
        <v>14900</v>
      </c>
      <c r="E56" s="0" t="n">
        <v>-6</v>
      </c>
      <c r="F56" s="1" t="n">
        <f aca="false">ROUND((C56-AVERAGE(C2:C254))/AVERAGE(C2:C254) * 100,0)</f>
        <v>-8</v>
      </c>
      <c r="G56" s="1" t="s">
        <v>246</v>
      </c>
      <c r="H56" s="0" t="n">
        <v>3.2</v>
      </c>
      <c r="I56" s="0" t="n">
        <v>3.2</v>
      </c>
      <c r="J56" s="0" t="n">
        <v>3</v>
      </c>
      <c r="K56" s="0" t="n">
        <v>3</v>
      </c>
      <c r="L56" s="0" t="n">
        <v>3.5</v>
      </c>
      <c r="M56" s="0" t="n">
        <v>3.6</v>
      </c>
      <c r="N56" s="0" t="n">
        <v>2.9</v>
      </c>
      <c r="O56" s="1" t="n">
        <v>2002</v>
      </c>
      <c r="P56" s="0" t="n">
        <v>120000</v>
      </c>
      <c r="Q56" s="0" t="n">
        <v>406000</v>
      </c>
      <c r="R56" s="1" t="s">
        <v>247</v>
      </c>
      <c r="S56" s="4" t="s">
        <v>77</v>
      </c>
      <c r="T56" s="1" t="s">
        <v>47</v>
      </c>
      <c r="U56" s="1" t="s">
        <v>248</v>
      </c>
      <c r="W56" s="4" t="s">
        <v>249</v>
      </c>
      <c r="X56" s="4" t="s">
        <v>202</v>
      </c>
      <c r="Y56" s="0" t="n">
        <v>42</v>
      </c>
      <c r="Z56" s="0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2026-07-01T11:33:14Z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