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ings_and_reviews_at_naukri_a" sheetId="1" state="visible" r:id="rId3"/>
    <sheet name="TECHPINNACLE BIT SOLUTIONS" sheetId="2" state="visible" r:id="rId4"/>
    <sheet name="Genpact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<sst xmlns="http://schemas.openxmlformats.org/spreadsheetml/2006/main" count="95" uniqueCount="74">
  <si>
    <t xml:space="preserve">Date</t>
  </si>
  <si>
    <t xml:space="preserve">Company</t>
  </si>
  <si>
    <t xml:space="preserve">Rating</t>
  </si>
  <si>
    <t xml:space="preserve">#Reviews</t>
  </si>
  <si>
    <t xml:space="preserve">Industry level insights (%: -100 (below industry's average) to 100)</t>
  </si>
  <si>
    <t xml:space="preserve">Sample Avg Insights</t>
  </si>
  <si>
    <t xml:space="preserve">URL</t>
  </si>
  <si>
    <t xml:space="preserve">Company Culture</t>
  </si>
  <si>
    <t xml:space="preserve">Salary</t>
  </si>
  <si>
    <t xml:space="preserve">Work-Life Balance</t>
  </si>
  <si>
    <t xml:space="preserve">Work Satisfaction</t>
  </si>
  <si>
    <t xml:space="preserve">Skill Development</t>
  </si>
  <si>
    <t xml:space="preserve">Job Security</t>
  </si>
  <si>
    <t xml:space="preserve">Promotions</t>
  </si>
  <si>
    <t xml:space="preserve">Snapshots</t>
  </si>
  <si>
    <t xml:space="preserve">HQ</t>
  </si>
  <si>
    <t xml:space="preserve">LinkedIn</t>
  </si>
  <si>
    <t xml:space="preserve">Company Website</t>
  </si>
  <si>
    <t xml:space="preserve">Company Industry</t>
  </si>
  <si>
    <t xml:space="preserve">Jan / 16 / 2026</t>
  </si>
  <si>
    <t xml:space="preserve">Axtria</t>
  </si>
  <si>
    <t xml:space="preserve">https://www.ambitionbox.com/reviews/axtria-reviews</t>
  </si>
  <si>
    <t xml:space="preserve">https://survival8.blogspot.com/2026/01/company-profile-axtria.html</t>
  </si>
  <si>
    <t xml:space="preserve">Berkeley Heights,New Jersey, United States</t>
  </si>
  <si>
    <t xml:space="preserve">https://www.linkedin.com/company/axtria/</t>
  </si>
  <si>
    <t xml:space="preserve">https://www.axtria.com/</t>
  </si>
  <si>
    <t xml:space="preserve">Data analytics &amp; cloud software company focused on Life Sciences</t>
  </si>
  <si>
    <t xml:space="preserve">Infosys</t>
  </si>
  <si>
    <t xml:space="preserve">https://www.ambitionbox.com/reviews/infosys-reviews</t>
  </si>
  <si>
    <t xml:space="preserve">IT Services</t>
  </si>
  <si>
    <t xml:space="preserve">Accenture</t>
  </si>
  <si>
    <t xml:space="preserve">https://www.ambitionbox.com/reviews/accenture-reviews</t>
  </si>
  <si>
    <t xml:space="preserve">Cognizant</t>
  </si>
  <si>
    <t xml:space="preserve">https://www.ambitionbox.com/reviews/cognizant-reviews</t>
  </si>
  <si>
    <t xml:space="preserve">Nagarro</t>
  </si>
  <si>
    <t xml:space="preserve">https://www.ambitionbox.com/reviews/nagarro-reviews</t>
  </si>
  <si>
    <t xml:space="preserve">American Express</t>
  </si>
  <si>
    <t xml:space="preserve">https://www.ambitionbox.com/reviews/american-express-reviews</t>
  </si>
  <si>
    <t xml:space="preserve">Financial Services</t>
  </si>
  <si>
    <t xml:space="preserve">Feb / 13 / 2026</t>
  </si>
  <si>
    <t xml:space="preserve">GSPANN</t>
  </si>
  <si>
    <t xml:space="preserve">https://www.ambitionbox.com/reviews/gspann-technologies-reviews</t>
  </si>
  <si>
    <t xml:space="preserve">Feb / 14 / 2026</t>
  </si>
  <si>
    <t xml:space="preserve">IBM Consulting</t>
  </si>
  <si>
    <t xml:space="preserve">https://www.ambitionbox.com/reviews/ibm-consulting-reviews</t>
  </si>
  <si>
    <t xml:space="preserve">IBM</t>
  </si>
  <si>
    <t xml:space="preserve">https://www.ambitionbox.com/reviews/ibm-reviews</t>
  </si>
  <si>
    <t xml:space="preserve">Jun / 11 / 2026</t>
  </si>
  <si>
    <t xml:space="preserve">ZS</t>
  </si>
  <si>
    <t xml:space="preserve">https://www.ambitionbox.com/reviews/zs-reviews</t>
  </si>
  <si>
    <t xml:space="preserve">TCS</t>
  </si>
  <si>
    <t xml:space="preserve">https://www.ambitionbox.com/reviews/tcs-reviews</t>
  </si>
  <si>
    <t xml:space="preserve">HCLTech</t>
  </si>
  <si>
    <t xml:space="preserve">https://www.ambitionbox.com/reviews/hcl-technologies-reviews</t>
  </si>
  <si>
    <t xml:space="preserve">Jun / 12 / 2026</t>
  </si>
  <si>
    <t xml:space="preserve">Siemens Energy</t>
  </si>
  <si>
    <t xml:space="preserve">https://www.ambitionbox.com/reviews/siemens-energy-reviews</t>
  </si>
  <si>
    <t xml:space="preserve">KPMG India</t>
  </si>
  <si>
    <t xml:space="preserve">https://www.ambitionbox.com/reviews/kpmg-india-reviews</t>
  </si>
  <si>
    <t xml:space="preserve">PwC</t>
  </si>
  <si>
    <t xml:space="preserve">https://www.ambitionbox.com/reviews/pwc-reviews</t>
  </si>
  <si>
    <t xml:space="preserve">Lumen Technologies</t>
  </si>
  <si>
    <t xml:space="preserve">https://www.ambitionbox.com/reviews/lumen-technologies-reviews</t>
  </si>
  <si>
    <t xml:space="preserve">TECHPINNACLE BIT SOLUTIONS</t>
  </si>
  <si>
    <t xml:space="preserve">https://www.ambitionbox.com/reviews/techpinnacle-bit-solutions-reviews</t>
  </si>
  <si>
    <t xml:space="preserve">Genpact</t>
  </si>
  <si>
    <t xml:space="preserve">https://www.ambitionbox.com/reviews/genpact-reviews</t>
  </si>
  <si>
    <t xml:space="preserve">Google</t>
  </si>
  <si>
    <t xml:space="preserve">https://www.ambitionbox.com/reviews/google-reviews</t>
  </si>
  <si>
    <t xml:space="preserve">Amazon</t>
  </si>
  <si>
    <t xml:space="preserve">https://www.ambitionbox.com/reviews/amazon-reviews</t>
  </si>
  <si>
    <t xml:space="preserve">Jun / 13 / 2026</t>
  </si>
  <si>
    <t xml:space="preserve">Procore</t>
  </si>
  <si>
    <t xml:space="preserve">https://www.ambitionbox.com/reviews/procore-reviews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</si>
</sst>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10</xdr:col>
      <xdr:colOff>275760</xdr:colOff>
      <xdr:row>49</xdr:row>
      <xdr:rowOff>65160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0" y="0"/>
          <a:ext cx="8403840" cy="803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10</xdr:col>
      <xdr:colOff>265680</xdr:colOff>
      <xdr:row>50</xdr:row>
      <xdr:rowOff>46080</xdr:rowOff>
    </xdr:to>
    <xdr:pic>
      <xdr:nvPicPr>
        <xdr:cNvPr id="1" name="Image 2" descr=""/>
        <xdr:cNvPicPr/>
      </xdr:nvPicPr>
      <xdr:blipFill>
        <a:blip r:embed="rId1"/>
        <a:stretch/>
      </xdr:blipFill>
      <xdr:spPr>
        <a:xfrm>
          <a:off x="0" y="0"/>
          <a:ext cx="8393760" cy="81741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G35" activeCellId="0" sqref="G3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3.81"/>
    <col collapsed="false" customWidth="true" hidden="false" outlineLevel="0" max="2" min="2" style="1" width="25.04"/>
    <col collapsed="false" customWidth="true" hidden="false" outlineLevel="0" max="3" min="3" style="1" width="6.18"/>
    <col collapsed="false" customWidth="true" hidden="false" outlineLevel="0" max="4" min="4" style="1" width="9.36"/>
    <col collapsed="false" customWidth="true" hidden="false" outlineLevel="0" max="5" min="5" style="1" width="5.25"/>
    <col collapsed="false" customWidth="true" hidden="false" outlineLevel="0" max="6" min="6" style="1" width="8.03"/>
    <col collapsed="false" customWidth="true" hidden="false" outlineLevel="0" max="7" min="7" style="1" width="11.28"/>
    <col collapsed="false" customWidth="true" hidden="false" outlineLevel="0" max="8" min="8" style="1" width="9.42"/>
    <col collapsed="false" customWidth="true" hidden="false" outlineLevel="0" max="9" min="9" style="1" width="6.79"/>
    <col collapsed="false" customWidth="true" hidden="false" outlineLevel="0" max="10" min="10" style="1" width="10.82"/>
    <col collapsed="false" customWidth="false" hidden="false" outlineLevel="0" max="11" min="11" style="1" width="11.58"/>
    <col collapsed="false" customWidth="true" hidden="false" outlineLevel="0" max="12" min="12" style="1" width="9.73"/>
    <col collapsed="false" customWidth="true" hidden="false" outlineLevel="0" max="13" min="13" style="1" width="11.43"/>
  </cols>
  <sheetData>
    <row r="1" s="2" customFormat="tru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1"/>
      <c r="U1" s="1"/>
      <c r="V1" s="1"/>
    </row>
    <row r="2" customFormat="false" ht="12.8" hidden="false" customHeight="false" outlineLevel="0" collapsed="false">
      <c r="A2" s="3" t="s">
        <v>19</v>
      </c>
      <c r="B2" s="1" t="s">
        <v>20</v>
      </c>
      <c r="C2" s="1" t="n">
        <v>2.8</v>
      </c>
      <c r="D2" s="1" t="n">
        <v>748</v>
      </c>
      <c r="E2" s="1" t="n">
        <v>-22</v>
      </c>
      <c r="F2" s="1" t="n">
        <f aca="false">ROUND((C2-AVERAGE(C2:C200))/AVERAGE(C2:C200) * 100,0)</f>
        <v>-25</v>
      </c>
      <c r="G2" s="1" t="s">
        <v>21</v>
      </c>
      <c r="N2" s="1"/>
      <c r="O2" s="1" t="s">
        <v>22</v>
      </c>
      <c r="P2" s="1" t="s">
        <v>23</v>
      </c>
      <c r="Q2" s="1" t="s">
        <v>24</v>
      </c>
      <c r="R2" s="1" t="s">
        <v>25</v>
      </c>
      <c r="S2" s="1" t="s">
        <v>26</v>
      </c>
    </row>
    <row r="3" customFormat="false" ht="12.8" hidden="false" customHeight="false" outlineLevel="0" collapsed="false">
      <c r="A3" s="3" t="s">
        <v>19</v>
      </c>
      <c r="B3" s="1" t="s">
        <v>27</v>
      </c>
      <c r="C3" s="1" t="n">
        <v>3.5</v>
      </c>
      <c r="D3" s="1" t="n">
        <v>47300</v>
      </c>
      <c r="E3" s="1" t="n">
        <v>-3</v>
      </c>
      <c r="F3" s="1" t="n">
        <f aca="false">ROUND((C3-AVERAGE(C3:C201))/AVERAGE(C3:C201) * 100,0)</f>
        <v>-7</v>
      </c>
      <c r="G3" s="1" t="s">
        <v>28</v>
      </c>
      <c r="N3" s="1"/>
      <c r="O3" s="1"/>
      <c r="P3" s="1"/>
      <c r="Q3" s="1"/>
      <c r="R3" s="1"/>
      <c r="S3" s="1" t="s">
        <v>29</v>
      </c>
    </row>
    <row r="4" customFormat="false" ht="12.8" hidden="false" customHeight="false" outlineLevel="0" collapsed="false">
      <c r="A4" s="3" t="s">
        <v>19</v>
      </c>
      <c r="B4" s="1" t="s">
        <v>30</v>
      </c>
      <c r="C4" s="1" t="n">
        <v>3.7</v>
      </c>
      <c r="D4" s="1" t="n">
        <v>71100</v>
      </c>
      <c r="E4" s="1" t="n">
        <v>3</v>
      </c>
      <c r="F4" s="1" t="n">
        <f aca="false">ROUND((C4-AVERAGE(C4:C202))/AVERAGE(C4:C202) * 100,0)</f>
        <v>-2</v>
      </c>
      <c r="G4" s="1" t="s">
        <v>31</v>
      </c>
      <c r="N4" s="1"/>
      <c r="O4" s="1"/>
      <c r="P4" s="1"/>
      <c r="Q4" s="1"/>
      <c r="R4" s="1"/>
      <c r="S4" s="1" t="s">
        <v>29</v>
      </c>
    </row>
    <row r="5" customFormat="false" ht="12.8" hidden="false" customHeight="false" outlineLevel="0" collapsed="false">
      <c r="A5" s="3" t="s">
        <v>19</v>
      </c>
      <c r="B5" s="1" t="s">
        <v>32</v>
      </c>
      <c r="C5" s="1" t="n">
        <v>3.6</v>
      </c>
      <c r="D5" s="1" t="n">
        <v>59900</v>
      </c>
      <c r="E5" s="1" t="n">
        <v>0</v>
      </c>
      <c r="F5" s="1" t="n">
        <f aca="false">ROUND((C5-AVERAGE(C5:C203))/AVERAGE(C5:C203) * 100,0)</f>
        <v>-5</v>
      </c>
      <c r="G5" s="1" t="s">
        <v>33</v>
      </c>
      <c r="N5" s="1"/>
      <c r="O5" s="1"/>
      <c r="P5" s="1"/>
      <c r="Q5" s="1"/>
      <c r="R5" s="1"/>
      <c r="S5" s="1" t="s">
        <v>29</v>
      </c>
    </row>
    <row r="6" customFormat="false" ht="12.8" hidden="false" customHeight="false" outlineLevel="0" collapsed="false">
      <c r="A6" s="3" t="s">
        <v>19</v>
      </c>
      <c r="B6" s="1" t="s">
        <v>34</v>
      </c>
      <c r="C6" s="1" t="n">
        <v>3.9</v>
      </c>
      <c r="D6" s="1" t="n">
        <v>4700</v>
      </c>
      <c r="E6" s="1" t="n">
        <v>8</v>
      </c>
      <c r="F6" s="1" t="n">
        <f aca="false">ROUND((C6-AVERAGE(C6:C204))/AVERAGE(C6:C204) * 100,0)</f>
        <v>2</v>
      </c>
      <c r="G6" s="1" t="s">
        <v>35</v>
      </c>
      <c r="N6" s="1"/>
      <c r="O6" s="1"/>
      <c r="P6" s="1"/>
      <c r="Q6" s="1"/>
      <c r="R6" s="1"/>
      <c r="S6" s="1" t="s">
        <v>29</v>
      </c>
    </row>
    <row r="7" customFormat="false" ht="12.8" hidden="false" customHeight="false" outlineLevel="0" collapsed="false">
      <c r="A7" s="3" t="s">
        <v>19</v>
      </c>
      <c r="B7" s="1" t="s">
        <v>36</v>
      </c>
      <c r="C7" s="1" t="n">
        <v>4.1</v>
      </c>
      <c r="D7" s="1" t="n">
        <v>3800</v>
      </c>
      <c r="E7" s="1" t="n">
        <v>11</v>
      </c>
      <c r="F7" s="1" t="n">
        <f aca="false">ROUND((C7-AVERAGE(C7:C205))/AVERAGE(C7:C205) * 100,0)</f>
        <v>8</v>
      </c>
      <c r="G7" s="1" t="s">
        <v>37</v>
      </c>
      <c r="N7" s="1"/>
      <c r="O7" s="1"/>
      <c r="P7" s="1"/>
      <c r="Q7" s="1"/>
      <c r="R7" s="1"/>
      <c r="S7" s="1" t="s">
        <v>38</v>
      </c>
    </row>
    <row r="8" customFormat="false" ht="12.8" hidden="false" customHeight="false" outlineLevel="0" collapsed="false">
      <c r="A8" s="1" t="s">
        <v>39</v>
      </c>
      <c r="B8" s="1" t="s">
        <v>40</v>
      </c>
      <c r="C8" s="1" t="n">
        <v>4.1</v>
      </c>
      <c r="D8" s="1" t="n">
        <v>534</v>
      </c>
      <c r="E8" s="1" t="n">
        <v>14</v>
      </c>
      <c r="F8" s="1" t="n">
        <f aca="false">ROUND((C8-AVERAGE(C8:C206))/AVERAGE(C8:C206) * 100,0)</f>
        <v>8</v>
      </c>
      <c r="G8" s="1" t="s">
        <v>41</v>
      </c>
      <c r="N8" s="1"/>
    </row>
    <row r="9" customFormat="false" ht="12.8" hidden="false" customHeight="false" outlineLevel="0" collapsed="false">
      <c r="A9" s="1" t="s">
        <v>42</v>
      </c>
      <c r="B9" s="1" t="s">
        <v>43</v>
      </c>
      <c r="C9" s="1" t="n">
        <v>3.7</v>
      </c>
      <c r="D9" s="1" t="n">
        <v>148</v>
      </c>
      <c r="E9" s="1" t="n">
        <v>0</v>
      </c>
      <c r="F9" s="1" t="n">
        <f aca="false">ROUND((C9-AVERAGE(C9:C207))/AVERAGE(C9:C207) * 100,0)</f>
        <v>-2</v>
      </c>
      <c r="G9" s="1" t="s">
        <v>44</v>
      </c>
      <c r="N9" s="1"/>
    </row>
    <row r="10" customFormat="false" ht="12.8" hidden="false" customHeight="false" outlineLevel="0" collapsed="false">
      <c r="A10" s="1" t="s">
        <v>42</v>
      </c>
      <c r="B10" s="1" t="s">
        <v>45</v>
      </c>
      <c r="C10" s="1" t="n">
        <v>3.9</v>
      </c>
      <c r="D10" s="1" t="n">
        <v>25300</v>
      </c>
      <c r="E10" s="1" t="n">
        <v>8</v>
      </c>
      <c r="F10" s="1" t="n">
        <f aca="false">ROUND((C10-AVERAGE(C10:C208))/AVERAGE(C10:C208) * 100,0)</f>
        <v>4</v>
      </c>
      <c r="G10" s="1" t="s">
        <v>46</v>
      </c>
      <c r="N10" s="1"/>
    </row>
    <row r="11" customFormat="false" ht="12.8" hidden="false" customHeight="false" outlineLevel="0" collapsed="false">
      <c r="A11" s="1" t="s">
        <v>47</v>
      </c>
      <c r="B11" s="1" t="s">
        <v>48</v>
      </c>
      <c r="C11" s="1" t="n">
        <v>3.1</v>
      </c>
      <c r="D11" s="1" t="n">
        <v>2800</v>
      </c>
      <c r="E11" s="1" t="n">
        <v>-14</v>
      </c>
      <c r="F11" s="1" t="n">
        <f aca="false">ROUND((C11-AVERAGE(C11:C209))/AVERAGE(C11:C209) * 100,0)</f>
        <v>-17</v>
      </c>
      <c r="G11" s="1" t="s">
        <v>49</v>
      </c>
      <c r="N11" s="1"/>
    </row>
    <row r="12" customFormat="false" ht="12.8" hidden="false" customHeight="false" outlineLevel="0" collapsed="false">
      <c r="A12" s="1" t="s">
        <v>47</v>
      </c>
      <c r="B12" s="1" t="s">
        <v>50</v>
      </c>
      <c r="C12" s="1" t="n">
        <v>3.3</v>
      </c>
      <c r="D12" s="1" t="n">
        <v>120000</v>
      </c>
      <c r="E12" s="1" t="n">
        <v>-8</v>
      </c>
      <c r="F12" s="1" t="n">
        <f aca="false">ROUND((C12-AVERAGE(C12:C210))/AVERAGE(C12:C210) * 100,0)</f>
        <v>-13</v>
      </c>
      <c r="G12" s="1" t="s">
        <v>51</v>
      </c>
      <c r="N12" s="1"/>
    </row>
    <row r="13" customFormat="false" ht="12.8" hidden="false" customHeight="false" outlineLevel="0" collapsed="false">
      <c r="A13" s="1" t="s">
        <v>47</v>
      </c>
      <c r="B13" s="1" t="s">
        <v>52</v>
      </c>
      <c r="C13" s="1" t="n">
        <v>3.4</v>
      </c>
      <c r="D13" s="1" t="n">
        <v>46500</v>
      </c>
      <c r="E13" s="1" t="n">
        <v>-6</v>
      </c>
      <c r="F13" s="1" t="n">
        <f aca="false">ROUND((C13-AVERAGE(C13:C211))/AVERAGE(C13:C211) * 100,0)</f>
        <v>-12</v>
      </c>
      <c r="G13" s="1" t="s">
        <v>53</v>
      </c>
      <c r="N13" s="1"/>
    </row>
    <row r="14" customFormat="false" ht="12.8" hidden="false" customHeight="false" outlineLevel="0" collapsed="false">
      <c r="A14" s="1" t="s">
        <v>54</v>
      </c>
      <c r="B14" s="1" t="s">
        <v>55</v>
      </c>
      <c r="C14" s="1" t="n">
        <v>4.1</v>
      </c>
      <c r="D14" s="1" t="n">
        <v>1000</v>
      </c>
      <c r="E14" s="1" t="n">
        <v>5</v>
      </c>
      <c r="F14" s="1" t="n">
        <f aca="false">ROUND((C14-AVERAGE(C14:C212))/AVERAGE(C14:C212) * 100,0)</f>
        <v>5</v>
      </c>
      <c r="G14" s="1" t="s">
        <v>56</v>
      </c>
      <c r="N14" s="1"/>
    </row>
    <row r="15" customFormat="false" ht="12.8" hidden="false" customHeight="false" outlineLevel="0" collapsed="false">
      <c r="A15" s="1" t="s">
        <v>54</v>
      </c>
      <c r="B15" s="1" t="s">
        <v>57</v>
      </c>
      <c r="C15" s="1" t="n">
        <v>3.4</v>
      </c>
      <c r="D15" s="1" t="n">
        <v>7400</v>
      </c>
      <c r="E15" s="1" t="n">
        <v>-6</v>
      </c>
      <c r="F15" s="1" t="n">
        <f aca="false">ROUND((C15-AVERAGE(C15:C213))/AVERAGE(C15:C213) * 100,0)</f>
        <v>-12</v>
      </c>
      <c r="G15" s="1" t="s">
        <v>58</v>
      </c>
      <c r="N15" s="1"/>
    </row>
    <row r="16" customFormat="false" ht="12.8" hidden="false" customHeight="false" outlineLevel="0" collapsed="false">
      <c r="A16" s="1" t="s">
        <v>54</v>
      </c>
      <c r="B16" s="1" t="s">
        <v>59</v>
      </c>
      <c r="C16" s="1" t="n">
        <v>3.3</v>
      </c>
      <c r="D16" s="1" t="n">
        <v>12900</v>
      </c>
      <c r="E16" s="1" t="n">
        <v>-8</v>
      </c>
      <c r="F16" s="1" t="n">
        <f aca="false">ROUND((C16-AVERAGE(C16:C214))/AVERAGE(C16:C214) * 100,0)</f>
        <v>-16</v>
      </c>
      <c r="G16" s="1" t="s">
        <v>60</v>
      </c>
      <c r="N16" s="1"/>
    </row>
    <row r="17" customFormat="false" ht="12.8" hidden="false" customHeight="false" outlineLevel="0" collapsed="false">
      <c r="A17" s="1" t="s">
        <v>54</v>
      </c>
      <c r="B17" s="1" t="s">
        <v>61</v>
      </c>
      <c r="C17" s="1" t="n">
        <v>3.9</v>
      </c>
      <c r="D17" s="1" t="n">
        <v>846</v>
      </c>
      <c r="E17" s="1" t="n">
        <v>8</v>
      </c>
      <c r="F17" s="1" t="n">
        <f aca="false">ROUND((C17-AVERAGE(C17:C215))/AVERAGE(C17:C215) * 100,0)</f>
        <v>-3</v>
      </c>
      <c r="G17" s="1" t="s">
        <v>62</v>
      </c>
      <c r="N17" s="1"/>
    </row>
    <row r="18" customFormat="false" ht="12.8" hidden="false" customHeight="false" outlineLevel="0" collapsed="false">
      <c r="A18" s="1" t="s">
        <v>54</v>
      </c>
      <c r="B18" s="1" t="s">
        <v>63</v>
      </c>
      <c r="C18" s="1" t="n">
        <v>4.7</v>
      </c>
      <c r="D18" s="1" t="n">
        <v>18</v>
      </c>
      <c r="E18" s="1" t="n">
        <v>0</v>
      </c>
      <c r="F18" s="1" t="n">
        <f aca="false">ROUND((C18-AVERAGE(C18:C216))/AVERAGE(C18:C216) * 100,0)</f>
        <v>16</v>
      </c>
      <c r="G18" s="1" t="s">
        <v>64</v>
      </c>
      <c r="N18" s="1"/>
    </row>
    <row r="19" customFormat="false" ht="12.8" hidden="false" customHeight="false" outlineLevel="0" collapsed="false">
      <c r="A19" s="1" t="s">
        <v>54</v>
      </c>
      <c r="B19" s="1" t="s">
        <v>65</v>
      </c>
      <c r="C19" s="1" t="n">
        <v>3.6</v>
      </c>
      <c r="D19" s="1" t="n">
        <v>42900</v>
      </c>
      <c r="E19" s="1" t="n">
        <v>0</v>
      </c>
      <c r="F19" s="1" t="n">
        <f aca="false">ROUND((C19-AVERAGE(C19:C217))/AVERAGE(C19:C217) * 100,0)</f>
        <v>-8</v>
      </c>
      <c r="G19" s="1" t="s">
        <v>66</v>
      </c>
      <c r="N19" s="1"/>
    </row>
    <row r="20" customFormat="false" ht="12.8" hidden="false" customHeight="false" outlineLevel="0" collapsed="false">
      <c r="A20" s="1" t="s">
        <v>54</v>
      </c>
      <c r="B20" s="1" t="s">
        <v>67</v>
      </c>
      <c r="C20" s="1" t="n">
        <v>4.4</v>
      </c>
      <c r="D20" s="1" t="n">
        <v>1900</v>
      </c>
      <c r="E20" s="1" t="n">
        <v>22</v>
      </c>
      <c r="F20" s="1" t="n">
        <f aca="false">ROUND((C20-AVERAGE(C20:C218))/AVERAGE(C20:C218) * 100,0)</f>
        <v>10</v>
      </c>
      <c r="G20" s="1" t="s">
        <v>68</v>
      </c>
      <c r="H20" s="1" t="n">
        <v>4.4</v>
      </c>
      <c r="I20" s="1" t="n">
        <v>4.3</v>
      </c>
      <c r="J20" s="1" t="n">
        <v>4.4</v>
      </c>
      <c r="K20" s="1" t="n">
        <v>4.3</v>
      </c>
      <c r="L20" s="1" t="n">
        <v>4.3</v>
      </c>
      <c r="M20" s="1" t="n">
        <v>4.2</v>
      </c>
      <c r="N20" s="1" t="n">
        <v>4.1</v>
      </c>
    </row>
    <row r="21" customFormat="false" ht="12.8" hidden="false" customHeight="false" outlineLevel="0" collapsed="false">
      <c r="A21" s="1" t="s">
        <v>54</v>
      </c>
      <c r="B21" s="1" t="s">
        <v>69</v>
      </c>
      <c r="C21" s="1" t="n">
        <v>3.9</v>
      </c>
      <c r="D21" s="1" t="n">
        <v>31800</v>
      </c>
      <c r="E21" s="1" t="n">
        <v>8</v>
      </c>
      <c r="F21" s="1" t="n">
        <f aca="false">ROUND((C21-AVERAGE(C21:C219))/AVERAGE(C21:C219) * 100,0)</f>
        <v>1</v>
      </c>
      <c r="G21" s="1" t="s">
        <v>70</v>
      </c>
      <c r="H21" s="1" t="n">
        <v>4</v>
      </c>
      <c r="I21" s="1" t="n">
        <v>3.8</v>
      </c>
      <c r="J21" s="1" t="n">
        <v>3.8</v>
      </c>
      <c r="K21" s="1" t="n">
        <v>3.6</v>
      </c>
      <c r="L21" s="1" t="n">
        <v>3.6</v>
      </c>
      <c r="M21" s="1" t="n">
        <v>3.5</v>
      </c>
      <c r="N21" s="1" t="n">
        <v>3.2</v>
      </c>
    </row>
    <row r="22" customFormat="false" ht="12.8" hidden="false" customHeight="false" outlineLevel="0" collapsed="false">
      <c r="A22" s="1" t="s">
        <v>71</v>
      </c>
      <c r="B22" s="1" t="s">
        <v>72</v>
      </c>
      <c r="C22" s="1" t="n">
        <v>3.6</v>
      </c>
      <c r="D22" s="1" t="n">
        <v>19</v>
      </c>
      <c r="E22" s="1" t="n">
        <v>0</v>
      </c>
      <c r="F22" s="1" t="n">
        <f aca="false">ROUND((C22-AVERAGE(C22:C220))/AVERAGE(C22:C220) * 100,0)</f>
        <v>-6</v>
      </c>
      <c r="G22" s="1" t="s">
        <v>73</v>
      </c>
      <c r="H22" s="1" t="n">
        <v>3.9</v>
      </c>
      <c r="I22" s="1" t="n">
        <v>3.8</v>
      </c>
      <c r="J22" s="1" t="n">
        <v>3.8</v>
      </c>
      <c r="K22" s="1" t="n">
        <v>3.4</v>
      </c>
      <c r="L22" s="1" t="n">
        <v>3.1</v>
      </c>
      <c r="M22" s="1" t="n">
        <v>2.7</v>
      </c>
      <c r="N22" s="1" t="n">
        <v>2.6</v>
      </c>
    </row>
    <row r="23" customFormat="false" ht="12.8" hidden="false" customHeight="false" outlineLevel="0" collapsed="false">
      <c r="A23" s="1" t="s">
        <v>71</v>
      </c>
      <c r="B23" s="1" t="s">
        <v>55</v>
      </c>
      <c r="C23" s="1" t="n">
        <v>4.1</v>
      </c>
      <c r="D23" s="1" t="n">
        <v>1000</v>
      </c>
      <c r="E23" s="1" t="n">
        <v>5</v>
      </c>
      <c r="F23" s="1" t="n">
        <f aca="false">ROUND((C23-AVERAGE(C23:C221))/AVERAGE(C23:C221) * 100,0)</f>
        <v>0</v>
      </c>
      <c r="G23" s="1" t="s">
        <v>56</v>
      </c>
      <c r="H23" s="1" t="n">
        <v>4</v>
      </c>
      <c r="I23" s="1" t="n">
        <v>3.5</v>
      </c>
      <c r="J23" s="1" t="n">
        <v>4.2</v>
      </c>
      <c r="K23" s="1" t="n">
        <v>3.8</v>
      </c>
      <c r="L23" s="1" t="n">
        <v>3.8</v>
      </c>
      <c r="M23" s="1" t="n">
        <v>4.1</v>
      </c>
      <c r="N23" s="1" t="n">
        <v>3.1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P24" activeCellId="0" sqref="P24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2026-06-13T21:43:32Z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