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<sst xmlns="http://schemas.openxmlformats.org/spreadsheetml/2006/main" count="522" uniqueCount="303">
  <si>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</si>
  <si>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</si>
  <si>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</si>
  <si>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</si>
  <si>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</si>
  <si>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</si>
  <si>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</si>
  <si>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</si>
  <si>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</si>
  <si>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</si>
  <si>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</si>
  <si>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</si>
  <si>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</si>
  <si>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</si>
  <si>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</si>
  <si>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</si>
  <si>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</si>
  <si>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</si>
  <si>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</si>
  <si>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</si>
  <si>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</si>
  <si>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</si>
  <si>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</si>
  <si>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</si>
  <si>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</si>
  <si>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</si>
  <si>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</si>
  <si>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</si>
  <si>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</si>
  <si>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</si>
  <si>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</si>
  <si>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</si>
  <si>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</si>
  <si>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</si>
  <si>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</si>
  <si>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</si>
  <si>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</si>
  <si>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</si>
  <si>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</si>
  <si>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</si>
  <si>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</si>
  <si>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</si>
  <si>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</si>
  <si>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</si>
  <si>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</si>
  <si>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</si>
  <si>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</si>
  <si>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</si>
  <si>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</si>
  <si>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</si>
  <si>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</si>
  <si>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</si>
  <si>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</si>
  <si>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</si>
  <si>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</si>
  <si>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</si>
  <si>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</si>
  <si>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</si>
  <si>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</si>
  <si>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</si>
  <si>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</si>
  <si>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</si>
  <si>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</si>
  <si>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</si>
  <si>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</si>
  <si>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</si>
  <si>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</si>
  <si>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</si>
  <si>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</si>
  <si>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</si>
  <si>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</si>
  <si>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</si>
  <si>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</si>
  <si>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</si>
  <si>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</si>
  <si>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</si>
  <si>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</si>
  <si>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</si>
  <si>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</si>
  <si>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</si>
  <si>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</si>
  <si>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</si>
  <si>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</si>
  <si>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</si>
  <si>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</si>
  <si>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</si>
  <si>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</si>
  <si>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</si>
  <si>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</si>
  <si>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</si>
  <si>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</si>
  <si>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</si>
  <si>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</si>
  <si>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</si>
  <si>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</si>
  <si>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</si>
  <si>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</si>
  <si>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</si>
  <si>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</si>
  <si>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</si>
  <si>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</si>
  <si>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</si>
  <si>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</si>
  <si>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</si>
  <si>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</si>
  <si>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</si>
  <si>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</si>
  <si>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</si>
  <si>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</si>
  <si>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</si>
  <si>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</si>
  <si>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</si>
  <si>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</si>
  <si>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</si>
  <si>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</si>
  <si>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</si>
  <si>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</si>
  <si>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</si>
  <si>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</si>
  <si>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</si>
  <si>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</si>
  <si>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</si>
  <si>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</si>
  <si>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</si>
  <si>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</si>
  <si>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</si>
  <si>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</si>
  <si>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Genpact</t>
  </si>
  <si>
    <t xml:space="preserve">https://www.ambitionbox.com/reviews/genpact-reviews</t>
  </si>
  <si>
    <t xml:space="preserve">https://www.genpact.com/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</si>
  <si>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</si>
  <si>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</si>
  <si>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</si>
  <si>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</si>
  <si>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</si>
  <si>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</si>
  <si>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</si>
  <si>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</si>
  <si>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</si>
  <si>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</si>
  <si>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</si>
  <si>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</si>
  <si>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</si>
  <si>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</si>
  <si>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</si>
  <si>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</si>
  <si>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</si>
  <si>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</si>
  <si>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</si>
  <si>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</si>
  <si>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</si>
  <si>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</si>
  <si>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</si>
  <si>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</si>
  <si>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</si>
  <si>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</si>
  <si>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</si>
  <si>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</si>
  <si>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</si>
  <si>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</si>
  <si>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</si>
  <si>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</si>
  <si>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</si>
  <si>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</si>
  <si>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</si>
  <si>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</si>
  <si>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</si>
  <si>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</si>
  <si>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</si>
  <si>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</si>
  <si>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</si>
  <si>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</si>
  <si>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</si>
  <si>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</si>
  <si>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</si>
  <si>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</si>
  <si>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</si>
  <si>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</si>
  <si>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</si>
  <si>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</si>
  <si>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</si>
  <si>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</si>
  <si>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</si>
  <si>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</si>
  <si>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</si>
  <si>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</si>
  <si>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</si>
  <si>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</si>
  <si>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</si>
  <si>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</si>
  <si>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</si>
  <si>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</si>
  <si>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</si>
  <si>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</si>
  <si>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</si>
  <si>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</si>
  <si>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</si>
  <si>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</si>
  <si>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</si>
  <si>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</si>
  <si>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</si>
  <si>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</si>
  <si>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</si>
  <si>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</si>
  <si>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</si>
  <si>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</si>
  <si>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</si>
  <si>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</si>
  <si>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</si>
  <si>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</si>
  <si>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</si>
  <si>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</si>
  <si>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</si>
  <si>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</si>
  <si>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</si>
  <si>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</si>
  <si>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</si>
  <si>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</si>
  <si>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</si>
  <si>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</si>
  <si>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</si>
  <si>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</si>
  <si>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</si>
  <si>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</si>
  <si>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</si>
  <si>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</si>
  <si>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</si>
  <si>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</si>
  <si>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</si>
  <si>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</si>
  <si>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</si>
  <si>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</si>
  <si>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</si>
  <si>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</si>
  <si>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</si>
  <si>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</si>
  <si>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</si>
  <si>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</si>
  <si>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</si>
  <si>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</si>
  <si>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</si>
  <si>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</si>
  <si>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</si>
  <si>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</si>
  <si>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</si>
  <si>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</si>
  <si>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</si>
  <si>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</si>
  <si>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</si>
  <si>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</si>
  <si>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</si>
  <si>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</si>
  <si>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</si>
  <si>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</si>
  <si>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</si>
  <si>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</si>
  <si>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</si>
  <si>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</si>
  <si>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</si>
  <si>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</si>
  <si>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</si>
  <si>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</si>
  <si>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</si>
  <si>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</si>
  <si>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</si>
  <si>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</si>
  <si>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</si>
  <si>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</si>
  <si>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</si>
  <si>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</si>
  <si>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</si>
  <si>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</si>
  <si>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</si>
  <si>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</si>
  <si>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</si>
  <si>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</si>
  <si>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</si>
  <si>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 (USA)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</si>
  <si>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</si>
  <si>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</si>
  <si>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</si>
  <si>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</si>
  <si>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</si>
  <si>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</si>
  <si>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</si>
  <si>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</si>
  <si>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</si>
  <si>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</si>
  <si>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</si>
  <si>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</si>
  <si>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</si>
  <si>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</si>
  <si>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</si>
  <si>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</si>
  <si>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</si>
  <si>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</si>
  <si>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</si>
  <si>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</si>
  <si>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</si>
  <si>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</si>
  <si>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</si>
  <si>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$53.2 billion</t>
  </si>
  <si>
    <t xml:space="preserve">https://www.ambitionbox.com/salaries/ernst-young-salaries/lead-data-scientist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</si>
</sst>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E29" activePane="bottomLeft" state="frozen"/>
      <selection pane="topLeft" activeCell="A1" activeCellId="0" sqref="A1"/>
      <selection pane="bottomLeft" activeCell="Z48" activeCellId="0" sqref="Z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5.52"/>
    <col collapsed="false" customWidth="true" hidden="false" outlineLevel="0" max="2" min="2" style="1" width="24.36"/>
    <col collapsed="false" customWidth="true" hidden="false" outlineLevel="0" max="3" min="3" style="0" width="7.02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11.95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8.12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6.2"/>
    <col collapsed="false" customWidth="true" hidden="false" outlineLevel="0" max="15" min="15" style="1" width="6.59"/>
    <col collapsed="false" customWidth="true" hidden="false" outlineLevel="0" max="18" min="18" style="1" width="6.74"/>
    <col collapsed="false" customWidth="true" hidden="false" outlineLevel="0" max="20" min="20" style="1" width="5.82"/>
    <col collapsed="false" customWidth="true" hidden="false" outlineLevel="0" max="21" min="21" style="1" width="5.66"/>
    <col collapsed="false" customWidth="true" hidden="false" outlineLevel="0" max="22" min="22" style="1" width="5.51"/>
    <col collapsed="false" customWidth="true" hidden="false" outlineLevel="0" max="23" min="23" style="1" width="13.48"/>
    <col collapsed="false" customWidth="true" hidden="false" outlineLevel="0" max="24" min="24" style="1" width="15.68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3" t="s">
        <v>25</v>
      </c>
      <c r="AA1" s="2" t="s">
        <v>26</v>
      </c>
    </row>
    <row r="2" customFormat="false" ht="15" hidden="false" customHeight="false" outlineLevel="0" collapsed="false">
      <c r="A2" s="1" t="s">
        <v>27</v>
      </c>
      <c r="B2" s="1" t="s">
        <v>28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29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30</v>
      </c>
      <c r="S2" s="1" t="s">
        <v>31</v>
      </c>
      <c r="U2" s="1" t="s">
        <v>32</v>
      </c>
      <c r="V2" s="1" t="s">
        <v>33</v>
      </c>
      <c r="W2" s="1" t="s">
        <v>34</v>
      </c>
      <c r="X2" s="1" t="s">
        <v>35</v>
      </c>
      <c r="Y2" s="0" t="n">
        <v>24.5</v>
      </c>
      <c r="Z2" s="0" t="s">
        <v>36</v>
      </c>
      <c r="AA2" s="1" t="n">
        <v>13</v>
      </c>
    </row>
    <row r="3" customFormat="false" ht="15" hidden="false" customHeight="false" outlineLevel="0" collapsed="false">
      <c r="A3" s="1" t="s">
        <v>27</v>
      </c>
      <c r="B3" s="1" t="s">
        <v>37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-5</v>
      </c>
      <c r="G3" s="1" t="s">
        <v>38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1" t="n">
        <v>1981</v>
      </c>
      <c r="P3" s="1" t="n">
        <v>100000</v>
      </c>
      <c r="Q3" s="1" t="n">
        <v>100000</v>
      </c>
      <c r="R3" s="1" t="s">
        <v>39</v>
      </c>
      <c r="S3" s="1" t="s">
        <v>40</v>
      </c>
      <c r="W3" s="1" t="s">
        <v>41</v>
      </c>
      <c r="X3" s="1" t="s">
        <v>35</v>
      </c>
      <c r="Y3" s="0" t="n">
        <v>24.3</v>
      </c>
      <c r="Z3" s="0" t="s">
        <v>42</v>
      </c>
      <c r="AA3" s="1" t="n">
        <v>13</v>
      </c>
    </row>
    <row r="4" customFormat="false" ht="15" hidden="false" customHeight="false" outlineLevel="0" collapsed="false">
      <c r="A4" s="1" t="s">
        <v>27</v>
      </c>
      <c r="B4" s="1" t="s">
        <v>43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1</v>
      </c>
      <c r="G4" s="1" t="s">
        <v>44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45</v>
      </c>
      <c r="S4" s="1" t="s">
        <v>40</v>
      </c>
      <c r="T4" s="1" t="s">
        <v>46</v>
      </c>
      <c r="W4" s="1" t="s">
        <v>47</v>
      </c>
      <c r="X4" s="1" t="s">
        <v>48</v>
      </c>
      <c r="Y4" s="0" t="n">
        <v>26.9</v>
      </c>
      <c r="Z4" s="0" t="s">
        <v>49</v>
      </c>
      <c r="AA4" s="1" t="n">
        <v>13</v>
      </c>
    </row>
    <row r="5" customFormat="false" ht="15" hidden="false" customHeight="false" outlineLevel="0" collapsed="false">
      <c r="A5" s="1" t="s">
        <v>27</v>
      </c>
      <c r="B5" s="1" t="s">
        <v>50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-2</v>
      </c>
      <c r="G5" s="1" t="s">
        <v>51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1" t="n">
        <v>1994</v>
      </c>
      <c r="P5" s="1" t="n">
        <v>256000</v>
      </c>
      <c r="Q5" s="1" t="n">
        <v>357600</v>
      </c>
      <c r="R5" s="1" t="s">
        <v>52</v>
      </c>
      <c r="S5" s="1" t="s">
        <v>40</v>
      </c>
      <c r="T5" s="1" t="s">
        <v>53</v>
      </c>
      <c r="W5" s="1" t="s">
        <v>54</v>
      </c>
      <c r="X5" s="1" t="s">
        <v>35</v>
      </c>
      <c r="Y5" s="0" t="n">
        <v>28.3</v>
      </c>
      <c r="Z5" s="0" t="s">
        <v>55</v>
      </c>
      <c r="AA5" s="1" t="n">
        <v>13</v>
      </c>
    </row>
    <row r="6" customFormat="false" ht="15" hidden="false" customHeight="false" outlineLevel="0" collapsed="false">
      <c r="A6" s="1" t="s">
        <v>27</v>
      </c>
      <c r="B6" s="1" t="s">
        <v>56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57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58</v>
      </c>
      <c r="S6" s="1" t="s">
        <v>40</v>
      </c>
      <c r="T6" s="1" t="s">
        <v>59</v>
      </c>
      <c r="W6" s="1" t="s">
        <v>60</v>
      </c>
      <c r="X6" s="1" t="s">
        <v>35</v>
      </c>
      <c r="Y6" s="0" t="n">
        <v>39.6</v>
      </c>
      <c r="Z6" s="0" t="s">
        <v>61</v>
      </c>
      <c r="AA6" s="1" t="n">
        <v>13</v>
      </c>
    </row>
    <row r="7" customFormat="false" ht="15" hidden="false" customHeight="false" outlineLevel="0" collapsed="false">
      <c r="A7" s="1" t="s">
        <v>27</v>
      </c>
      <c r="B7" s="1" t="s">
        <v>62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11</v>
      </c>
      <c r="G7" s="1" t="s">
        <v>63</v>
      </c>
      <c r="H7" s="1" t="n">
        <v>4.1</v>
      </c>
      <c r="I7" s="1" t="n">
        <v>4</v>
      </c>
      <c r="J7" s="1" t="n">
        <v>4.1</v>
      </c>
      <c r="K7" s="1" t="n">
        <v>3.8</v>
      </c>
      <c r="L7" s="1" t="n">
        <v>3.7</v>
      </c>
      <c r="M7" s="1" t="n">
        <v>4</v>
      </c>
      <c r="N7" s="1" t="n">
        <v>3.3</v>
      </c>
      <c r="O7" s="1" t="n">
        <v>1850</v>
      </c>
      <c r="P7" s="1" t="n">
        <v>15000</v>
      </c>
      <c r="Q7" s="1" t="n">
        <v>76800</v>
      </c>
      <c r="R7" s="1" t="s">
        <v>64</v>
      </c>
      <c r="S7" s="1" t="s">
        <v>65</v>
      </c>
      <c r="T7" s="1" t="s">
        <v>66</v>
      </c>
      <c r="W7" s="1" t="s">
        <v>67</v>
      </c>
      <c r="X7" s="1" t="s">
        <v>35</v>
      </c>
      <c r="Y7" s="1" t="n">
        <v>49.8</v>
      </c>
      <c r="Z7" s="4" t="s">
        <v>68</v>
      </c>
      <c r="AA7" s="1" t="n">
        <v>13</v>
      </c>
    </row>
    <row r="8" customFormat="false" ht="15" hidden="false" customHeight="false" outlineLevel="0" collapsed="false">
      <c r="A8" s="1" t="s">
        <v>69</v>
      </c>
      <c r="B8" s="1" t="s">
        <v>70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71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72</v>
      </c>
      <c r="S8" s="1" t="s">
        <v>40</v>
      </c>
      <c r="W8" s="1" t="s">
        <v>73</v>
      </c>
      <c r="X8" s="1" t="s">
        <v>35</v>
      </c>
      <c r="Y8" s="0" t="n">
        <v>31.4</v>
      </c>
      <c r="Z8" s="4" t="s">
        <v>74</v>
      </c>
      <c r="AA8" s="1" t="n">
        <v>13</v>
      </c>
    </row>
    <row r="9" customFormat="false" ht="15" hidden="false" customHeight="false" outlineLevel="0" collapsed="false">
      <c r="A9" s="1" t="s">
        <v>75</v>
      </c>
      <c r="B9" s="1" t="s">
        <v>76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1</v>
      </c>
      <c r="G9" s="1" t="s">
        <v>77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1" t="n">
        <v>1991</v>
      </c>
      <c r="P9" s="1" t="n">
        <v>50000</v>
      </c>
      <c r="Q9" s="1" t="n">
        <v>160000</v>
      </c>
      <c r="R9" s="1" t="s">
        <v>78</v>
      </c>
      <c r="S9" s="1" t="s">
        <v>40</v>
      </c>
      <c r="W9" s="1" t="s">
        <v>79</v>
      </c>
      <c r="X9" s="1" t="s">
        <v>35</v>
      </c>
      <c r="Y9" s="0" t="n">
        <v>47.3</v>
      </c>
      <c r="Z9" s="4" t="s">
        <v>80</v>
      </c>
      <c r="AA9" s="1" t="n">
        <v>13</v>
      </c>
    </row>
    <row r="10" customFormat="false" ht="15" hidden="false" customHeight="false" outlineLevel="0" collapsed="false">
      <c r="A10" s="1" t="s">
        <v>75</v>
      </c>
      <c r="B10" s="1" t="s">
        <v>81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82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78</v>
      </c>
      <c r="S10" s="1" t="s">
        <v>40</v>
      </c>
      <c r="T10" s="1" t="s">
        <v>65</v>
      </c>
      <c r="W10" s="1" t="s">
        <v>83</v>
      </c>
      <c r="X10" s="1" t="s">
        <v>35</v>
      </c>
      <c r="Y10" s="0" t="n">
        <v>35.2</v>
      </c>
      <c r="Z10" s="4" t="s">
        <v>84</v>
      </c>
      <c r="AA10" s="1" t="n">
        <v>13</v>
      </c>
    </row>
    <row r="11" customFormat="false" ht="15" hidden="false" customHeight="false" outlineLevel="0" collapsed="false">
      <c r="A11" s="1" t="s">
        <v>85</v>
      </c>
      <c r="B11" s="1" t="s">
        <v>86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-16</v>
      </c>
      <c r="G11" s="1" t="s">
        <v>87</v>
      </c>
      <c r="H11" s="1" t="n">
        <v>3.1</v>
      </c>
      <c r="I11" s="1" t="n">
        <v>3.6</v>
      </c>
      <c r="J11" s="1" t="n">
        <v>2</v>
      </c>
      <c r="K11" s="1" t="n">
        <v>2.7</v>
      </c>
      <c r="L11" s="1" t="n">
        <v>3.1</v>
      </c>
      <c r="M11" s="1" t="n">
        <v>3.2</v>
      </c>
      <c r="N11" s="1" t="n">
        <v>3</v>
      </c>
      <c r="O11" s="1" t="n">
        <v>1983</v>
      </c>
      <c r="P11" s="1" t="n">
        <v>10400</v>
      </c>
      <c r="Q11" s="1" t="n">
        <v>15000</v>
      </c>
      <c r="R11" s="1" t="s">
        <v>88</v>
      </c>
      <c r="S11" s="1" t="s">
        <v>89</v>
      </c>
      <c r="T11" s="1" t="s">
        <v>40</v>
      </c>
      <c r="W11" s="1" t="s">
        <v>90</v>
      </c>
      <c r="X11" s="1" t="s">
        <v>35</v>
      </c>
      <c r="Y11" s="0" t="n">
        <v>46.3</v>
      </c>
      <c r="Z11" s="4" t="s">
        <v>91</v>
      </c>
      <c r="AA11" s="1" t="n">
        <v>13</v>
      </c>
    </row>
    <row r="12" customFormat="false" ht="15" hidden="false" customHeight="false" outlineLevel="0" collapsed="false">
      <c r="A12" s="1" t="s">
        <v>85</v>
      </c>
      <c r="B12" s="1" t="s">
        <v>92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-10</v>
      </c>
      <c r="G12" s="1" t="s">
        <v>93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94</v>
      </c>
      <c r="S12" s="1" t="s">
        <v>40</v>
      </c>
      <c r="T12" s="1" t="s">
        <v>65</v>
      </c>
      <c r="W12" s="1" t="s">
        <v>95</v>
      </c>
      <c r="X12" s="1" t="s">
        <v>35</v>
      </c>
      <c r="Y12" s="0" t="n">
        <v>24.3</v>
      </c>
      <c r="Z12" s="4" t="s">
        <v>96</v>
      </c>
      <c r="AA12" s="1" t="n">
        <v>13</v>
      </c>
    </row>
    <row r="13" customFormat="false" ht="15" hidden="false" customHeight="false" outlineLevel="0" collapsed="false">
      <c r="A13" s="1" t="s">
        <v>85</v>
      </c>
      <c r="B13" s="1" t="s">
        <v>97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-8</v>
      </c>
      <c r="G13" s="1" t="s">
        <v>98</v>
      </c>
      <c r="H13" s="1" t="n">
        <v>3.3</v>
      </c>
      <c r="I13" s="1" t="n">
        <v>2.8</v>
      </c>
      <c r="J13" s="1" t="n">
        <v>3.5</v>
      </c>
      <c r="K13" s="1" t="n">
        <v>3.2</v>
      </c>
      <c r="L13" s="1" t="n">
        <v>3.2</v>
      </c>
      <c r="M13" s="1" t="n">
        <v>3.6</v>
      </c>
      <c r="N13" s="1" t="n">
        <v>2.5</v>
      </c>
      <c r="O13" s="1" t="n">
        <v>1991</v>
      </c>
      <c r="P13" s="1" t="n">
        <v>180000</v>
      </c>
      <c r="Q13" s="1" t="n">
        <v>227181</v>
      </c>
      <c r="R13" s="1" t="s">
        <v>99</v>
      </c>
      <c r="S13" s="1" t="s">
        <v>40</v>
      </c>
      <c r="T13" s="1" t="s">
        <v>100</v>
      </c>
      <c r="W13" s="1" t="s">
        <v>101</v>
      </c>
      <c r="X13" s="1" t="s">
        <v>35</v>
      </c>
      <c r="Y13" s="0" t="n">
        <v>26.4</v>
      </c>
      <c r="Z13" s="4" t="s">
        <v>102</v>
      </c>
      <c r="AA13" s="1" t="n">
        <v>13</v>
      </c>
    </row>
    <row r="14" customFormat="false" ht="15" hidden="false" customHeight="false" outlineLevel="0" collapsed="false">
      <c r="A14" s="1" t="s">
        <v>103</v>
      </c>
      <c r="B14" s="1" t="s">
        <v>104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105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106</v>
      </c>
      <c r="S14" s="1" t="s">
        <v>89</v>
      </c>
      <c r="T14" s="1" t="s">
        <v>40</v>
      </c>
      <c r="W14" s="1" t="s">
        <v>107</v>
      </c>
      <c r="X14" s="1" t="s">
        <v>35</v>
      </c>
      <c r="Y14" s="0" t="n">
        <v>27.6</v>
      </c>
      <c r="Z14" s="4" t="s">
        <v>108</v>
      </c>
      <c r="AA14" s="1" t="n">
        <v>13</v>
      </c>
    </row>
    <row r="15" customFormat="false" ht="15" hidden="false" customHeight="false" outlineLevel="0" collapsed="false">
      <c r="A15" s="1" t="s">
        <v>103</v>
      </c>
      <c r="B15" s="1" t="s">
        <v>109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-10</v>
      </c>
      <c r="G15" s="1" t="s">
        <v>110</v>
      </c>
      <c r="H15" s="1" t="n">
        <v>3.2</v>
      </c>
      <c r="I15" s="1" t="n">
        <v>3.3</v>
      </c>
      <c r="J15" s="1" t="n">
        <v>3</v>
      </c>
      <c r="K15" s="1" t="n">
        <v>3</v>
      </c>
      <c r="L15" s="1" t="n">
        <v>3.4</v>
      </c>
      <c r="M15" s="1" t="n">
        <v>3.4</v>
      </c>
      <c r="N15" s="1" t="n">
        <v>2.8</v>
      </c>
      <c r="O15" s="1" t="n">
        <v>1880</v>
      </c>
      <c r="P15" s="1" t="n">
        <v>30000</v>
      </c>
      <c r="Q15" s="1" t="n">
        <v>370000</v>
      </c>
      <c r="R15" s="1" t="s">
        <v>111</v>
      </c>
      <c r="S15" s="1" t="s">
        <v>89</v>
      </c>
      <c r="T15" s="1" t="s">
        <v>112</v>
      </c>
      <c r="W15" s="1" t="s">
        <v>113</v>
      </c>
      <c r="X15" s="1" t="s">
        <v>35</v>
      </c>
      <c r="Y15" s="0" t="n">
        <v>43.4</v>
      </c>
      <c r="Z15" s="4" t="s">
        <v>114</v>
      </c>
      <c r="AA15" s="1" t="n">
        <v>13</v>
      </c>
    </row>
    <row r="16" customFormat="false" ht="15" hidden="false" customHeight="false" outlineLevel="0" collapsed="false">
      <c r="A16" s="1" t="s">
        <v>103</v>
      </c>
      <c r="B16" s="1" t="s">
        <v>115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116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117</v>
      </c>
      <c r="S16" s="1" t="s">
        <v>118</v>
      </c>
      <c r="T16" s="1" t="s">
        <v>59</v>
      </c>
      <c r="W16" s="1" t="s">
        <v>119</v>
      </c>
      <c r="X16" s="1" t="s">
        <v>35</v>
      </c>
      <c r="Y16" s="0" t="n">
        <v>88.2</v>
      </c>
      <c r="Z16" s="4" t="s">
        <v>120</v>
      </c>
      <c r="AA16" s="1" t="n">
        <v>13</v>
      </c>
    </row>
    <row r="17" customFormat="false" ht="15" hidden="false" customHeight="false" outlineLevel="0" collapsed="false">
      <c r="A17" s="1" t="s">
        <v>103</v>
      </c>
      <c r="B17" s="1" t="s">
        <v>121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28</v>
      </c>
      <c r="G17" s="1" t="s">
        <v>122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1" t="n">
        <v>2016</v>
      </c>
      <c r="P17" s="1" t="n">
        <v>140</v>
      </c>
      <c r="Q17" s="1" t="n">
        <v>140</v>
      </c>
      <c r="R17" s="1" t="s">
        <v>123</v>
      </c>
      <c r="S17" s="1" t="s">
        <v>40</v>
      </c>
      <c r="W17" s="1" t="s">
        <v>124</v>
      </c>
      <c r="X17" s="1" t="s">
        <v>125</v>
      </c>
      <c r="Y17" s="0" t="n">
        <v>16.8</v>
      </c>
      <c r="Z17" s="4" t="s">
        <v>126</v>
      </c>
      <c r="AA17" s="1" t="n">
        <v>13</v>
      </c>
    </row>
    <row r="18" customFormat="false" ht="15" hidden="false" customHeight="false" outlineLevel="0" collapsed="false">
      <c r="A18" s="1" t="s">
        <v>103</v>
      </c>
      <c r="B18" s="1" t="s">
        <v>127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128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129</v>
      </c>
      <c r="S18" s="1" t="s">
        <v>46</v>
      </c>
      <c r="T18" s="1" t="s">
        <v>65</v>
      </c>
      <c r="W18" s="1" t="s">
        <v>130</v>
      </c>
      <c r="X18" s="1" t="s">
        <v>35</v>
      </c>
      <c r="Y18" s="0" t="n">
        <v>36.7</v>
      </c>
      <c r="Z18" s="4" t="s">
        <v>131</v>
      </c>
      <c r="AA18" s="1" t="n">
        <v>13</v>
      </c>
    </row>
    <row r="19" customFormat="false" ht="15" hidden="false" customHeight="false" outlineLevel="0" collapsed="false">
      <c r="A19" s="1" t="s">
        <v>103</v>
      </c>
      <c r="B19" s="1" t="s">
        <v>132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20</v>
      </c>
      <c r="G19" s="1" t="s">
        <v>133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1" t="n">
        <v>190820</v>
      </c>
      <c r="R19" s="1" t="s">
        <v>134</v>
      </c>
      <c r="S19" s="1" t="s">
        <v>135</v>
      </c>
      <c r="W19" s="1" t="s">
        <v>136</v>
      </c>
      <c r="X19" s="1" t="s">
        <v>35</v>
      </c>
      <c r="Y19" s="0" t="n">
        <v>60.2</v>
      </c>
      <c r="Z19" s="4" t="s">
        <v>137</v>
      </c>
      <c r="AA19" s="1" t="n">
        <v>13</v>
      </c>
    </row>
    <row r="20" customFormat="false" ht="15" hidden="false" customHeight="false" outlineLevel="0" collapsed="false">
      <c r="A20" s="1" t="s">
        <v>103</v>
      </c>
      <c r="B20" s="1" t="s">
        <v>138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139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140</v>
      </c>
      <c r="S20" s="1" t="s">
        <v>59</v>
      </c>
      <c r="W20" s="1" t="s">
        <v>141</v>
      </c>
      <c r="X20" s="1" t="s">
        <v>35</v>
      </c>
      <c r="Y20" s="0" t="n">
        <v>66</v>
      </c>
      <c r="Z20" s="4" t="s">
        <v>142</v>
      </c>
      <c r="AA20" s="1" t="n">
        <v>13</v>
      </c>
    </row>
    <row r="21" customFormat="false" ht="15" hidden="false" customHeight="false" outlineLevel="0" collapsed="false">
      <c r="A21" s="1" t="s">
        <v>143</v>
      </c>
      <c r="B21" s="1" t="s">
        <v>144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-2</v>
      </c>
      <c r="G21" s="1" t="s">
        <v>145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1" t="n">
        <v>2002</v>
      </c>
      <c r="P21" s="1" t="n">
        <v>150</v>
      </c>
      <c r="Q21" s="1" t="n">
        <v>4800</v>
      </c>
      <c r="R21" s="1" t="s">
        <v>146</v>
      </c>
      <c r="S21" s="1" t="s">
        <v>135</v>
      </c>
      <c r="W21" s="1" t="s">
        <v>147</v>
      </c>
      <c r="X21" s="1" t="s">
        <v>148</v>
      </c>
      <c r="Y21" s="0" t="n">
        <v>77.4</v>
      </c>
      <c r="Z21" s="4" t="s">
        <v>149</v>
      </c>
      <c r="AA21" s="1" t="n">
        <v>13</v>
      </c>
    </row>
    <row r="22" customFormat="false" ht="15" hidden="false" customHeight="false" outlineLevel="0" collapsed="false">
      <c r="A22" s="1" t="s">
        <v>143</v>
      </c>
      <c r="B22" s="1" t="s">
        <v>150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151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152</v>
      </c>
      <c r="S22" s="1" t="s">
        <v>153</v>
      </c>
      <c r="W22" s="1" t="s">
        <v>154</v>
      </c>
      <c r="X22" s="1" t="s">
        <v>35</v>
      </c>
      <c r="Y22" s="0" t="n">
        <v>31.1</v>
      </c>
      <c r="Z22" s="4" t="s">
        <v>155</v>
      </c>
      <c r="AA22" s="1" t="n">
        <v>13</v>
      </c>
    </row>
    <row r="23" customFormat="false" ht="15" hidden="false" customHeight="false" outlineLevel="0" collapsed="false">
      <c r="A23" s="1" t="s">
        <v>156</v>
      </c>
      <c r="B23" s="1" t="s">
        <v>157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-10</v>
      </c>
      <c r="G23" s="1" t="s">
        <v>158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1" t="n">
        <v>1901</v>
      </c>
      <c r="P23" s="1" t="n">
        <v>4000</v>
      </c>
      <c r="Q23" s="1" t="n">
        <v>67000</v>
      </c>
      <c r="R23" s="1" t="s">
        <v>159</v>
      </c>
      <c r="S23" s="1" t="s">
        <v>160</v>
      </c>
      <c r="W23" s="1" t="s">
        <v>161</v>
      </c>
      <c r="X23" s="1" t="s">
        <v>35</v>
      </c>
      <c r="Y23" s="0" t="n">
        <v>23.8</v>
      </c>
      <c r="Z23" s="4" t="s">
        <v>162</v>
      </c>
      <c r="AA23" s="1" t="n">
        <v>13</v>
      </c>
    </row>
    <row r="24" customFormat="false" ht="15" hidden="false" customHeight="false" outlineLevel="0" collapsed="false">
      <c r="A24" s="1" t="s">
        <v>156</v>
      </c>
      <c r="B24" s="1" t="s">
        <v>163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164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165</v>
      </c>
      <c r="S24" s="1" t="s">
        <v>166</v>
      </c>
      <c r="W24" s="1" t="s">
        <v>167</v>
      </c>
      <c r="X24" s="1" t="s">
        <v>35</v>
      </c>
      <c r="Y24" s="0" t="n">
        <v>33.5</v>
      </c>
      <c r="Z24" s="4" t="s">
        <v>168</v>
      </c>
      <c r="AA24" s="1" t="n">
        <v>13</v>
      </c>
    </row>
    <row r="25" customFormat="false" ht="15" hidden="false" customHeight="false" outlineLevel="0" collapsed="false">
      <c r="A25" s="1" t="s">
        <v>156</v>
      </c>
      <c r="B25" s="1" t="s">
        <v>169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-10</v>
      </c>
      <c r="G25" s="1" t="s">
        <v>170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1" t="n">
        <v>2013</v>
      </c>
      <c r="P25" s="1" t="n">
        <v>5000</v>
      </c>
      <c r="Q25" s="1" t="n">
        <v>5000</v>
      </c>
      <c r="R25" s="1" t="s">
        <v>171</v>
      </c>
      <c r="S25" s="1" t="s">
        <v>40</v>
      </c>
      <c r="W25" s="1" t="s">
        <v>172</v>
      </c>
      <c r="X25" s="1" t="s">
        <v>35</v>
      </c>
      <c r="Y25" s="0" t="n">
        <v>40.9</v>
      </c>
      <c r="Z25" s="4" t="s">
        <v>173</v>
      </c>
      <c r="AA25" s="1" t="n">
        <v>13</v>
      </c>
    </row>
    <row r="26" customFormat="false" ht="15" hidden="false" customHeight="false" outlineLevel="0" collapsed="false">
      <c r="A26" s="1" t="s">
        <v>174</v>
      </c>
      <c r="B26" s="1" t="s">
        <v>175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176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177</v>
      </c>
      <c r="S26" s="1" t="s">
        <v>40</v>
      </c>
      <c r="W26" s="1" t="s">
        <v>178</v>
      </c>
      <c r="X26" s="1" t="s">
        <v>35</v>
      </c>
      <c r="Y26" s="0" t="n">
        <v>27.4</v>
      </c>
      <c r="Z26" s="4" t="s">
        <v>179</v>
      </c>
      <c r="AA26" s="1" t="n">
        <v>13</v>
      </c>
    </row>
    <row r="27" customFormat="false" ht="15" hidden="false" customHeight="false" outlineLevel="0" collapsed="false">
      <c r="A27" s="1" t="s">
        <v>174</v>
      </c>
      <c r="B27" s="1" t="s">
        <v>180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25</v>
      </c>
      <c r="G27" s="1" t="s">
        <v>181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1" t="n">
        <v>1832</v>
      </c>
      <c r="P27" s="1" t="n">
        <v>1000</v>
      </c>
      <c r="Q27" s="1" t="n">
        <v>4300</v>
      </c>
      <c r="R27" s="1" t="s">
        <v>182</v>
      </c>
      <c r="S27" s="1" t="s">
        <v>183</v>
      </c>
      <c r="W27" s="1" t="s">
        <v>184</v>
      </c>
      <c r="X27" s="1" t="s">
        <v>185</v>
      </c>
      <c r="Y27" s="0" t="n">
        <v>37.5</v>
      </c>
      <c r="Z27" s="4" t="s">
        <v>186</v>
      </c>
      <c r="AA27" s="1" t="n">
        <v>13</v>
      </c>
    </row>
    <row r="28" customFormat="false" ht="15" hidden="false" customHeight="false" outlineLevel="0" collapsed="false">
      <c r="A28" s="1" t="s">
        <v>174</v>
      </c>
      <c r="B28" s="1" t="s">
        <v>187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188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189</v>
      </c>
      <c r="S28" s="1" t="s">
        <v>183</v>
      </c>
      <c r="W28" s="1" t="s">
        <v>190</v>
      </c>
      <c r="X28" s="1" t="s">
        <v>35</v>
      </c>
      <c r="Y28" s="0" t="n">
        <v>36.9</v>
      </c>
      <c r="Z28" s="4" t="s">
        <v>191</v>
      </c>
      <c r="AA28" s="1" t="n">
        <v>13</v>
      </c>
    </row>
    <row r="29" customFormat="false" ht="15" hidden="false" customHeight="false" outlineLevel="0" collapsed="false">
      <c r="A29" s="1" t="s">
        <v>174</v>
      </c>
      <c r="B29" s="1" t="s">
        <v>192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22</v>
      </c>
      <c r="G29" s="1" t="s">
        <v>193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1" t="n">
        <v>50</v>
      </c>
      <c r="Q29" s="1" t="n">
        <v>200</v>
      </c>
      <c r="R29" s="1" t="s">
        <v>194</v>
      </c>
      <c r="S29" s="1" t="s">
        <v>183</v>
      </c>
      <c r="W29" s="1" t="s">
        <v>195</v>
      </c>
      <c r="X29" s="1" t="s">
        <v>196</v>
      </c>
      <c r="Y29" s="0" t="n">
        <v>25.8</v>
      </c>
      <c r="Z29" s="4" t="s">
        <v>197</v>
      </c>
      <c r="AA29" s="1" t="n">
        <v>13</v>
      </c>
    </row>
    <row r="30" customFormat="false" ht="15" hidden="false" customHeight="false" outlineLevel="0" collapsed="false">
      <c r="A30" s="1" t="s">
        <v>198</v>
      </c>
      <c r="B30" s="1" t="s">
        <v>199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200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201</v>
      </c>
      <c r="S30" s="1" t="s">
        <v>40</v>
      </c>
      <c r="W30" s="1" t="s">
        <v>73</v>
      </c>
      <c r="X30" s="1" t="s">
        <v>35</v>
      </c>
      <c r="Y30" s="0" t="n">
        <v>39</v>
      </c>
      <c r="Z30" s="4" t="s">
        <v>202</v>
      </c>
      <c r="AA30" s="1" t="n">
        <v>13</v>
      </c>
    </row>
    <row r="31" customFormat="false" ht="15" hidden="false" customHeight="false" outlineLevel="0" collapsed="false">
      <c r="A31" s="1" t="s">
        <v>198</v>
      </c>
      <c r="B31" s="1" t="s">
        <v>203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-2</v>
      </c>
      <c r="G31" s="1" t="s">
        <v>204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1" t="s">
        <v>205</v>
      </c>
      <c r="S31" s="1" t="s">
        <v>89</v>
      </c>
      <c r="W31" s="1" t="s">
        <v>206</v>
      </c>
      <c r="X31" s="1" t="s">
        <v>35</v>
      </c>
      <c r="Y31" s="0" t="n">
        <v>73.7</v>
      </c>
      <c r="Z31" s="4" t="s">
        <v>207</v>
      </c>
      <c r="AA31" s="1" t="n">
        <v>13</v>
      </c>
    </row>
    <row r="32" customFormat="false" ht="15" hidden="false" customHeight="false" outlineLevel="0" collapsed="false">
      <c r="A32" s="1" t="s">
        <v>198</v>
      </c>
      <c r="B32" s="1" t="s">
        <v>208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209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210</v>
      </c>
      <c r="S32" s="1" t="s">
        <v>46</v>
      </c>
      <c r="W32" s="1" t="s">
        <v>211</v>
      </c>
      <c r="X32" s="1" t="s">
        <v>35</v>
      </c>
      <c r="Y32" s="0" t="n">
        <v>45.2</v>
      </c>
      <c r="Z32" s="4" t="s">
        <v>212</v>
      </c>
      <c r="AA32" s="1" t="n">
        <v>13</v>
      </c>
    </row>
    <row r="33" customFormat="false" ht="15" hidden="false" customHeight="false" outlineLevel="0" collapsed="false">
      <c r="A33" s="1" t="s">
        <v>198</v>
      </c>
      <c r="B33" s="1" t="s">
        <v>213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-2</v>
      </c>
      <c r="G33" s="1" t="s">
        <v>214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1" t="s">
        <v>215</v>
      </c>
      <c r="S33" s="1" t="s">
        <v>216</v>
      </c>
      <c r="W33" s="1" t="s">
        <v>217</v>
      </c>
      <c r="X33" s="1" t="s">
        <v>218</v>
      </c>
      <c r="Y33" s="0" t="n">
        <v>10.3</v>
      </c>
      <c r="Z33" s="4" t="s">
        <v>219</v>
      </c>
      <c r="AA33" s="1" t="n">
        <v>13</v>
      </c>
    </row>
    <row r="34" customFormat="false" ht="15" hidden="false" customHeight="false" outlineLevel="0" collapsed="false">
      <c r="A34" s="1" t="s">
        <v>198</v>
      </c>
      <c r="B34" s="1" t="s">
        <v>220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221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222</v>
      </c>
      <c r="S34" s="1" t="s">
        <v>40</v>
      </c>
      <c r="W34" s="1" t="s">
        <v>223</v>
      </c>
      <c r="X34" s="1" t="s">
        <v>35</v>
      </c>
      <c r="Y34" s="0" t="n">
        <v>36</v>
      </c>
      <c r="Z34" s="4" t="s">
        <v>224</v>
      </c>
      <c r="AA34" s="1" t="n">
        <v>13</v>
      </c>
    </row>
    <row r="35" customFormat="false" ht="15" hidden="false" customHeight="false" outlineLevel="0" collapsed="false">
      <c r="A35" s="1" t="s">
        <v>225</v>
      </c>
      <c r="B35" s="1" t="s">
        <v>226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9</v>
      </c>
      <c r="G35" s="1" t="s">
        <v>227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1" t="s">
        <v>228</v>
      </c>
      <c r="S35" s="1" t="s">
        <v>40</v>
      </c>
      <c r="W35" s="1" t="s">
        <v>229</v>
      </c>
      <c r="X35" s="1" t="s">
        <v>35</v>
      </c>
      <c r="Y35" s="0" t="n">
        <v>45.2</v>
      </c>
      <c r="Z35" s="4" t="s">
        <v>230</v>
      </c>
      <c r="AA35" s="1" t="n">
        <v>13</v>
      </c>
    </row>
    <row r="36" customFormat="false" ht="15" hidden="false" customHeight="false" outlineLevel="0" collapsed="false">
      <c r="A36" s="1" t="s">
        <v>231</v>
      </c>
      <c r="B36" s="1" t="s">
        <v>70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9</v>
      </c>
      <c r="G36" s="1" t="s">
        <v>71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72</v>
      </c>
      <c r="S36" s="1" t="s">
        <v>40</v>
      </c>
      <c r="W36" s="1" t="s">
        <v>73</v>
      </c>
      <c r="X36" s="1" t="s">
        <v>35</v>
      </c>
      <c r="Y36" s="0" t="n">
        <v>31.4</v>
      </c>
      <c r="Z36" s="4" t="s">
        <v>74</v>
      </c>
      <c r="AA36" s="1" t="n">
        <v>13</v>
      </c>
    </row>
    <row r="37" customFormat="false" ht="15" hidden="false" customHeight="false" outlineLevel="0" collapsed="false">
      <c r="A37" s="1" t="s">
        <v>231</v>
      </c>
      <c r="B37" s="1" t="s">
        <v>28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-27</v>
      </c>
      <c r="G37" s="1" t="s">
        <v>29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1" t="n">
        <v>2.6</v>
      </c>
      <c r="O37" s="1" t="n">
        <v>2010</v>
      </c>
      <c r="P37" s="1" t="n">
        <v>3600</v>
      </c>
      <c r="Q37" s="1" t="n">
        <v>3600</v>
      </c>
      <c r="R37" s="1" t="s">
        <v>30</v>
      </c>
      <c r="S37" s="1" t="s">
        <v>31</v>
      </c>
      <c r="U37" s="1" t="s">
        <v>32</v>
      </c>
      <c r="V37" s="1" t="s">
        <v>33</v>
      </c>
      <c r="W37" s="1" t="s">
        <v>34</v>
      </c>
      <c r="X37" s="1" t="s">
        <v>35</v>
      </c>
      <c r="Y37" s="0" t="n">
        <v>24.5</v>
      </c>
      <c r="Z37" s="4" t="s">
        <v>36</v>
      </c>
      <c r="AA37" s="1" t="n">
        <v>13</v>
      </c>
    </row>
    <row r="38" customFormat="false" ht="15" hidden="false" customHeight="false" outlineLevel="0" collapsed="false">
      <c r="A38" s="1" t="s">
        <v>231</v>
      </c>
      <c r="B38" s="1" t="s">
        <v>37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38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39</v>
      </c>
      <c r="S38" s="1" t="s">
        <v>40</v>
      </c>
      <c r="W38" s="1" t="s">
        <v>41</v>
      </c>
      <c r="X38" s="1" t="s">
        <v>35</v>
      </c>
      <c r="Y38" s="0" t="n">
        <v>24.3</v>
      </c>
      <c r="Z38" s="4" t="s">
        <v>42</v>
      </c>
      <c r="AA38" s="1" t="n">
        <v>13</v>
      </c>
    </row>
    <row r="39" customFormat="false" ht="15" hidden="false" customHeight="false" outlineLevel="0" collapsed="false">
      <c r="A39" s="1" t="s">
        <v>231</v>
      </c>
      <c r="B39" s="1" t="s">
        <v>232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-5</v>
      </c>
      <c r="G39" s="1" t="s">
        <v>233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1" t="n">
        <v>3</v>
      </c>
      <c r="O39" s="1" t="n">
        <v>2012</v>
      </c>
      <c r="P39" s="1" t="n">
        <v>5000</v>
      </c>
      <c r="Q39" s="1" t="n">
        <v>10000</v>
      </c>
      <c r="R39" s="1" t="s">
        <v>234</v>
      </c>
      <c r="S39" s="1" t="s">
        <v>40</v>
      </c>
      <c r="U39" s="5" t="s">
        <v>235</v>
      </c>
      <c r="W39" s="1" t="s">
        <v>236</v>
      </c>
      <c r="X39" s="1" t="s">
        <v>35</v>
      </c>
      <c r="Y39" s="0" t="n">
        <v>22.4</v>
      </c>
      <c r="Z39" s="4" t="s">
        <v>237</v>
      </c>
      <c r="AA39" s="1" t="n">
        <v>13</v>
      </c>
    </row>
    <row r="40" customFormat="false" ht="15" hidden="false" customHeight="false" outlineLevel="0" collapsed="false">
      <c r="A40" s="1" t="s">
        <v>231</v>
      </c>
      <c r="B40" s="1" t="s">
        <v>238</v>
      </c>
      <c r="C40" s="1" t="s">
        <v>239</v>
      </c>
      <c r="D40" s="1" t="s">
        <v>239</v>
      </c>
      <c r="E40" s="1" t="s">
        <v>239</v>
      </c>
      <c r="F40" s="1" t="s">
        <v>239</v>
      </c>
      <c r="G40" s="1" t="s">
        <v>240</v>
      </c>
      <c r="H40" s="1" t="s">
        <v>239</v>
      </c>
      <c r="I40" s="1" t="s">
        <v>239</v>
      </c>
      <c r="J40" s="1" t="s">
        <v>239</v>
      </c>
      <c r="K40" s="1" t="s">
        <v>239</v>
      </c>
      <c r="L40" s="1" t="s">
        <v>239</v>
      </c>
      <c r="M40" s="1" t="s">
        <v>239</v>
      </c>
      <c r="N40" s="1" t="s">
        <v>239</v>
      </c>
      <c r="O40" s="1" t="n">
        <v>2017</v>
      </c>
      <c r="P40" s="1" t="s">
        <v>239</v>
      </c>
      <c r="Q40" s="1" t="n">
        <v>50</v>
      </c>
      <c r="R40" s="1" t="s">
        <v>241</v>
      </c>
      <c r="S40" s="1" t="s">
        <v>183</v>
      </c>
      <c r="U40" s="5" t="s">
        <v>242</v>
      </c>
      <c r="W40" s="1" t="s">
        <v>243</v>
      </c>
      <c r="X40" s="1" t="s">
        <v>239</v>
      </c>
      <c r="Y40" s="1" t="s">
        <v>239</v>
      </c>
      <c r="Z40" s="1" t="s">
        <v>239</v>
      </c>
      <c r="AA40" s="1" t="n">
        <v>13</v>
      </c>
    </row>
    <row r="41" customFormat="false" ht="15" hidden="false" customHeight="false" outlineLevel="0" collapsed="false">
      <c r="A41" s="1" t="s">
        <v>231</v>
      </c>
      <c r="B41" s="1" t="s">
        <v>43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1</v>
      </c>
      <c r="G41" s="1" t="s">
        <v>44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1" t="n">
        <v>2.8</v>
      </c>
      <c r="O41" s="1" t="n">
        <v>1989</v>
      </c>
      <c r="P41" s="1" t="n">
        <v>300000</v>
      </c>
      <c r="Q41" s="1" t="n">
        <v>799000</v>
      </c>
      <c r="R41" s="1" t="s">
        <v>45</v>
      </c>
      <c r="S41" s="1" t="s">
        <v>40</v>
      </c>
      <c r="T41" s="1" t="s">
        <v>46</v>
      </c>
      <c r="W41" s="1" t="s">
        <v>47</v>
      </c>
      <c r="X41" s="1" t="s">
        <v>48</v>
      </c>
      <c r="Y41" s="0" t="n">
        <v>26.9</v>
      </c>
      <c r="Z41" s="4" t="s">
        <v>49</v>
      </c>
      <c r="AA41" s="1" t="n">
        <v>13</v>
      </c>
    </row>
    <row r="42" customFormat="false" ht="15" hidden="false" customHeight="false" outlineLevel="0" collapsed="false">
      <c r="A42" s="1" t="s">
        <v>231</v>
      </c>
      <c r="B42" s="1" t="s">
        <v>50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1</v>
      </c>
      <c r="G42" s="1" t="s">
        <v>51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52</v>
      </c>
      <c r="S42" s="1" t="s">
        <v>40</v>
      </c>
      <c r="T42" s="1" t="s">
        <v>53</v>
      </c>
      <c r="W42" s="1" t="s">
        <v>54</v>
      </c>
      <c r="X42" s="1" t="s">
        <v>35</v>
      </c>
      <c r="Y42" s="0" t="n">
        <v>28.3</v>
      </c>
      <c r="Z42" s="4" t="s">
        <v>55</v>
      </c>
      <c r="AA42" s="1" t="n">
        <v>13</v>
      </c>
    </row>
    <row r="43" customFormat="false" ht="15" hidden="false" customHeight="false" outlineLevel="0" collapsed="false">
      <c r="A43" s="1" t="s">
        <v>231</v>
      </c>
      <c r="B43" s="1" t="s">
        <v>81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6</v>
      </c>
      <c r="G43" s="1" t="s">
        <v>82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1" t="n">
        <v>1911</v>
      </c>
      <c r="P43" s="1" t="n">
        <v>135000</v>
      </c>
      <c r="Q43" s="1" t="n">
        <v>268000</v>
      </c>
      <c r="R43" s="1" t="s">
        <v>78</v>
      </c>
      <c r="S43" s="1" t="s">
        <v>40</v>
      </c>
      <c r="T43" s="1" t="s">
        <v>65</v>
      </c>
      <c r="W43" s="1" t="s">
        <v>83</v>
      </c>
      <c r="X43" s="1" t="s">
        <v>35</v>
      </c>
      <c r="Y43" s="0" t="n">
        <v>35.2</v>
      </c>
      <c r="Z43" s="4" t="s">
        <v>84</v>
      </c>
      <c r="AA43" s="1" t="n">
        <v>13</v>
      </c>
    </row>
    <row r="44" customFormat="false" ht="15" hidden="false" customHeight="false" outlineLevel="0" collapsed="false">
      <c r="A44" s="1" t="s">
        <v>231</v>
      </c>
      <c r="B44" s="1" t="s">
        <v>76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1</v>
      </c>
      <c r="G44" s="1" t="s">
        <v>77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78</v>
      </c>
      <c r="S44" s="1" t="s">
        <v>40</v>
      </c>
      <c r="W44" s="1" t="s">
        <v>79</v>
      </c>
      <c r="X44" s="1" t="s">
        <v>35</v>
      </c>
      <c r="Y44" s="0" t="n">
        <v>47.3</v>
      </c>
      <c r="Z44" s="4" t="s">
        <v>80</v>
      </c>
      <c r="AA44" s="1" t="n">
        <v>13</v>
      </c>
    </row>
    <row r="45" customFormat="false" ht="15" hidden="false" customHeight="false" outlineLevel="0" collapsed="false">
      <c r="A45" s="1" t="s">
        <v>244</v>
      </c>
      <c r="B45" s="1" t="s">
        <v>56</v>
      </c>
      <c r="C45" s="1" t="n">
        <v>3.9</v>
      </c>
      <c r="D45" s="1" t="n">
        <v>4800</v>
      </c>
      <c r="E45" s="1" t="n">
        <v>8</v>
      </c>
      <c r="F45" s="1" t="n">
        <f aca="false">ROUND((C45-AVERAGE(C41:C243))/AVERAGE(C41:C243) * 100,0)</f>
        <v>8</v>
      </c>
      <c r="G45" s="1" t="s">
        <v>57</v>
      </c>
      <c r="H45" s="1" t="n">
        <v>3.9</v>
      </c>
      <c r="I45" s="1" t="n">
        <v>3.7</v>
      </c>
      <c r="J45" s="1" t="n">
        <v>3.6</v>
      </c>
      <c r="K45" s="1" t="n">
        <v>3.6</v>
      </c>
      <c r="L45" s="1" t="n">
        <v>3.7</v>
      </c>
      <c r="M45" s="1" t="n">
        <v>3.6</v>
      </c>
      <c r="N45" s="1" t="n">
        <v>3.3</v>
      </c>
      <c r="O45" s="1" t="n">
        <v>1996</v>
      </c>
      <c r="P45" s="1" t="n">
        <v>13000</v>
      </c>
      <c r="Q45" s="1" t="n">
        <v>18500</v>
      </c>
      <c r="R45" s="1" t="s">
        <v>58</v>
      </c>
      <c r="S45" s="1" t="s">
        <v>40</v>
      </c>
      <c r="T45" s="1" t="s">
        <v>59</v>
      </c>
      <c r="W45" s="1" t="s">
        <v>60</v>
      </c>
      <c r="X45" s="1" t="s">
        <v>35</v>
      </c>
      <c r="Y45" s="0" t="n">
        <v>39.6</v>
      </c>
      <c r="Z45" s="4" t="s">
        <v>61</v>
      </c>
      <c r="AA45" s="1" t="n">
        <v>13</v>
      </c>
    </row>
    <row r="46" customFormat="false" ht="15" hidden="false" customHeight="false" outlineLevel="0" collapsed="false">
      <c r="A46" s="1" t="s">
        <v>244</v>
      </c>
      <c r="B46" s="1" t="s">
        <v>62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63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64</v>
      </c>
      <c r="S46" s="1" t="s">
        <v>65</v>
      </c>
      <c r="T46" s="1" t="s">
        <v>66</v>
      </c>
      <c r="W46" s="1" t="s">
        <v>67</v>
      </c>
      <c r="X46" s="1" t="s">
        <v>35</v>
      </c>
      <c r="Y46" s="1" t="n">
        <v>49.8</v>
      </c>
      <c r="Z46" s="4" t="s">
        <v>68</v>
      </c>
      <c r="AA46" s="1" t="n">
        <v>13</v>
      </c>
    </row>
    <row r="47" customFormat="false" ht="15" hidden="false" customHeight="false" outlineLevel="0" collapsed="false">
      <c r="A47" s="1" t="s">
        <v>244</v>
      </c>
      <c r="B47" s="1" t="s">
        <v>86</v>
      </c>
      <c r="C47" s="1" t="n">
        <v>3</v>
      </c>
      <c r="D47" s="1" t="n">
        <v>2800</v>
      </c>
      <c r="E47" s="1" t="n">
        <v>-17</v>
      </c>
      <c r="F47" s="1" t="n">
        <f aca="false">ROUND((C47-AVERAGE(C2:C245))/AVERAGE(C2:C245) * 100,0)</f>
        <v>-19</v>
      </c>
      <c r="G47" s="1" t="s">
        <v>87</v>
      </c>
      <c r="H47" s="1" t="n">
        <v>3.1</v>
      </c>
      <c r="I47" s="1" t="n">
        <v>3.6</v>
      </c>
      <c r="J47" s="1" t="n">
        <v>2</v>
      </c>
      <c r="K47" s="1" t="n">
        <v>2.7</v>
      </c>
      <c r="L47" s="1" t="n">
        <v>3.1</v>
      </c>
      <c r="M47" s="1" t="n">
        <v>3.2</v>
      </c>
      <c r="N47" s="1" t="n">
        <v>3</v>
      </c>
      <c r="O47" s="1" t="n">
        <v>1983</v>
      </c>
      <c r="P47" s="1" t="n">
        <v>10400</v>
      </c>
      <c r="Q47" s="1" t="n">
        <v>15000</v>
      </c>
      <c r="R47" s="1" t="s">
        <v>88</v>
      </c>
      <c r="S47" s="1" t="s">
        <v>89</v>
      </c>
      <c r="T47" s="1" t="s">
        <v>40</v>
      </c>
      <c r="W47" s="1" t="s">
        <v>90</v>
      </c>
      <c r="X47" s="1" t="s">
        <v>35</v>
      </c>
      <c r="Y47" s="0" t="n">
        <v>46.3</v>
      </c>
      <c r="Z47" s="4" t="s">
        <v>91</v>
      </c>
      <c r="AA47" s="1" t="n">
        <v>13</v>
      </c>
    </row>
    <row r="48" customFormat="false" ht="15" hidden="false" customHeight="false" outlineLevel="0" collapsed="false">
      <c r="A48" s="1" t="s">
        <v>244</v>
      </c>
      <c r="B48" s="1" t="s">
        <v>245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246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247</v>
      </c>
      <c r="S48" s="1" t="s">
        <v>183</v>
      </c>
      <c r="U48" s="1" t="s">
        <v>248</v>
      </c>
      <c r="W48" s="5" t="s">
        <v>249</v>
      </c>
      <c r="X48" s="1" t="s">
        <v>250</v>
      </c>
      <c r="Y48" s="0" t="n">
        <v>44.3</v>
      </c>
      <c r="Z48" s="4" t="s">
        <v>251</v>
      </c>
      <c r="AA48" s="1" t="n">
        <v>13</v>
      </c>
    </row>
    <row r="49" customFormat="false" ht="15" hidden="false" customHeight="false" outlineLevel="0" collapsed="false">
      <c r="A49" s="1" t="s">
        <v>244</v>
      </c>
      <c r="B49" s="1" t="s">
        <v>252</v>
      </c>
      <c r="C49" s="1" t="n">
        <v>2.8</v>
      </c>
      <c r="D49" s="1" t="n">
        <v>119</v>
      </c>
      <c r="E49" s="1" t="n">
        <v>-22</v>
      </c>
      <c r="F49" s="1" t="n">
        <f aca="false">ROUND((C49-AVERAGE(C2:C247))/AVERAGE(C2:C247) * 100,0)</f>
        <v>-24</v>
      </c>
      <c r="G49" s="1" t="s">
        <v>253</v>
      </c>
      <c r="H49" s="1" t="n">
        <v>2.8</v>
      </c>
      <c r="I49" s="1" t="n">
        <v>2.6</v>
      </c>
      <c r="J49" s="1" t="n">
        <v>2.7</v>
      </c>
      <c r="K49" s="1" t="n">
        <v>2.7</v>
      </c>
      <c r="L49" s="1" t="n">
        <v>2.7</v>
      </c>
      <c r="M49" s="1" t="n">
        <v>2.7</v>
      </c>
      <c r="N49" s="1" t="n">
        <v>2.6</v>
      </c>
      <c r="O49" s="1" t="n">
        <v>2011</v>
      </c>
      <c r="P49" s="1" t="n">
        <v>150</v>
      </c>
      <c r="Q49" s="1" t="n">
        <v>150</v>
      </c>
      <c r="R49" s="1" t="s">
        <v>254</v>
      </c>
      <c r="S49" s="1" t="s">
        <v>40</v>
      </c>
      <c r="U49" s="1" t="s">
        <v>255</v>
      </c>
      <c r="W49" s="5" t="s">
        <v>256</v>
      </c>
      <c r="X49" s="1" t="s">
        <v>185</v>
      </c>
      <c r="Y49" s="1" t="n">
        <v>12.2</v>
      </c>
      <c r="Z49" s="4" t="s">
        <v>257</v>
      </c>
      <c r="AA49" s="1" t="n">
        <v>13</v>
      </c>
    </row>
    <row r="50" customFormat="false" ht="15" hidden="false" customHeight="false" outlineLevel="0" collapsed="false">
      <c r="A50" s="1" t="s">
        <v>244</v>
      </c>
      <c r="B50" s="1" t="s">
        <v>258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259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260</v>
      </c>
      <c r="S50" s="1" t="s">
        <v>40</v>
      </c>
      <c r="T50" s="1" t="s">
        <v>135</v>
      </c>
      <c r="U50" s="1" t="s">
        <v>261</v>
      </c>
      <c r="W50" s="5" t="s">
        <v>262</v>
      </c>
      <c r="X50" s="1" t="s">
        <v>263</v>
      </c>
      <c r="Y50" s="1" t="n">
        <v>37</v>
      </c>
      <c r="Z50" s="4" t="s">
        <v>264</v>
      </c>
      <c r="AA50" s="1" t="n">
        <v>13</v>
      </c>
    </row>
    <row r="51" customFormat="false" ht="15" hidden="false" customHeight="false" outlineLevel="0" collapsed="false">
      <c r="A51" s="1" t="s">
        <v>244</v>
      </c>
      <c r="B51" s="1" t="s">
        <v>265</v>
      </c>
      <c r="C51" s="1" t="n">
        <v>3.2</v>
      </c>
      <c r="D51" s="1" t="n">
        <v>386</v>
      </c>
      <c r="E51" s="1" t="n">
        <v>-11</v>
      </c>
      <c r="F51" s="1" t="n">
        <f aca="false">ROUND((C51-AVERAGE(C2:C249))/AVERAGE(C2:C249) * 100,0)</f>
        <v>-13</v>
      </c>
      <c r="G51" s="1" t="s">
        <v>266</v>
      </c>
      <c r="H51" s="1" t="n">
        <v>3</v>
      </c>
      <c r="I51" s="1" t="n">
        <v>3.2</v>
      </c>
      <c r="J51" s="1" t="n">
        <v>3.1</v>
      </c>
      <c r="K51" s="1" t="n">
        <v>2.9</v>
      </c>
      <c r="L51" s="1" t="n">
        <v>2.8</v>
      </c>
      <c r="M51" s="1" t="n">
        <v>3</v>
      </c>
      <c r="N51" s="1" t="n">
        <v>2.6</v>
      </c>
      <c r="O51" s="1" t="n">
        <v>2000</v>
      </c>
      <c r="P51" s="1" t="n">
        <v>1000</v>
      </c>
      <c r="Q51" s="1" t="n">
        <v>2200</v>
      </c>
      <c r="R51" s="1" t="s">
        <v>267</v>
      </c>
      <c r="S51" s="1" t="s">
        <v>135</v>
      </c>
      <c r="T51" s="1" t="s">
        <v>268</v>
      </c>
      <c r="U51" s="1" t="s">
        <v>269</v>
      </c>
      <c r="W51" s="5" t="s">
        <v>270</v>
      </c>
      <c r="X51" s="5" t="s">
        <v>271</v>
      </c>
      <c r="Y51" s="1" t="n">
        <v>22.8</v>
      </c>
      <c r="Z51" s="4" t="s">
        <v>272</v>
      </c>
      <c r="AA51" s="1" t="n">
        <v>13</v>
      </c>
    </row>
    <row r="52" customFormat="false" ht="15" hidden="false" customHeight="false" outlineLevel="0" collapsed="false">
      <c r="A52" s="1" t="s">
        <v>273</v>
      </c>
      <c r="B52" s="1" t="s">
        <v>274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1</v>
      </c>
      <c r="G52" s="5" t="s">
        <v>275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276</v>
      </c>
      <c r="S52" s="5" t="s">
        <v>40</v>
      </c>
      <c r="U52" s="5" t="s">
        <v>277</v>
      </c>
      <c r="W52" s="5" t="s">
        <v>278</v>
      </c>
      <c r="X52" s="5" t="s">
        <v>279</v>
      </c>
      <c r="Y52" s="1" t="n">
        <v>24.1</v>
      </c>
      <c r="Z52" s="4" t="s">
        <v>280</v>
      </c>
      <c r="AA52" s="1" t="n">
        <v>13</v>
      </c>
    </row>
    <row r="53" customFormat="false" ht="15" hidden="false" customHeight="false" outlineLevel="0" collapsed="false">
      <c r="A53" s="1" t="s">
        <v>273</v>
      </c>
      <c r="B53" s="1" t="s">
        <v>238</v>
      </c>
      <c r="C53" s="1" t="n">
        <v>4.3</v>
      </c>
      <c r="D53" s="1" t="n">
        <v>19</v>
      </c>
      <c r="E53" s="5" t="s">
        <v>239</v>
      </c>
      <c r="F53" s="1" t="n">
        <f aca="false">ROUND((C53-AVERAGE(C2:C251))/AVERAGE(C2:C251) * 100,0)</f>
        <v>17</v>
      </c>
      <c r="G53" s="5" t="s">
        <v>281</v>
      </c>
      <c r="H53" s="1" t="n">
        <v>4.5</v>
      </c>
      <c r="I53" s="1" t="n">
        <v>3.8</v>
      </c>
      <c r="J53" s="1" t="n">
        <v>4.2</v>
      </c>
      <c r="K53" s="5" t="s">
        <v>239</v>
      </c>
      <c r="L53" s="5" t="s">
        <v>239</v>
      </c>
      <c r="M53" s="5" t="s">
        <v>239</v>
      </c>
      <c r="N53" s="5" t="s">
        <v>239</v>
      </c>
      <c r="O53" s="1" t="n">
        <v>2017</v>
      </c>
      <c r="P53" s="5" t="s">
        <v>239</v>
      </c>
      <c r="Q53" s="1" t="n">
        <v>50</v>
      </c>
      <c r="R53" s="5" t="s">
        <v>241</v>
      </c>
      <c r="S53" s="5" t="s">
        <v>183</v>
      </c>
      <c r="U53" s="5" t="s">
        <v>242</v>
      </c>
      <c r="W53" s="5" t="s">
        <v>243</v>
      </c>
      <c r="X53" s="5" t="s">
        <v>239</v>
      </c>
      <c r="Y53" s="5" t="s">
        <v>239</v>
      </c>
      <c r="AA53" s="1" t="n">
        <v>13</v>
      </c>
    </row>
    <row r="54" customFormat="false" ht="15" hidden="false" customHeight="false" outlineLevel="0" collapsed="false">
      <c r="A54" s="1" t="s">
        <v>282</v>
      </c>
      <c r="B54" s="1" t="s">
        <v>283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-10</v>
      </c>
      <c r="G54" s="1" t="s">
        <v>284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285</v>
      </c>
      <c r="S54" s="1" t="s">
        <v>40</v>
      </c>
      <c r="W54" s="5" t="s">
        <v>286</v>
      </c>
      <c r="X54" s="5" t="s">
        <v>287</v>
      </c>
      <c r="Y54" s="1" t="n">
        <v>26.3</v>
      </c>
      <c r="Z54" s="4" t="s">
        <v>288</v>
      </c>
      <c r="AA54" s="1" t="n">
        <v>13</v>
      </c>
    </row>
    <row r="55" customFormat="false" ht="15" hidden="false" customHeight="false" outlineLevel="0" collapsed="false">
      <c r="A55" s="1" t="s">
        <v>289</v>
      </c>
      <c r="B55" s="1" t="s">
        <v>290</v>
      </c>
      <c r="C55" s="1" t="n">
        <v>3.7</v>
      </c>
      <c r="D55" s="1" t="n">
        <v>352</v>
      </c>
      <c r="E55" s="1" t="n">
        <v>3</v>
      </c>
      <c r="F55" s="1" t="n">
        <f aca="false">ROUND((C55-AVERAGE(C2:C253))/AVERAGE(C2:C253) * 100,0)</f>
        <v>1</v>
      </c>
      <c r="G55" s="1" t="s">
        <v>291</v>
      </c>
      <c r="H55" s="1" t="n">
        <v>3.8</v>
      </c>
      <c r="I55" s="1" t="n">
        <v>3.8</v>
      </c>
      <c r="J55" s="1" t="n">
        <v>3.4</v>
      </c>
      <c r="K55" s="1" t="n">
        <v>3.4</v>
      </c>
      <c r="L55" s="1" t="n">
        <v>3.5</v>
      </c>
      <c r="M55" s="1" t="n">
        <v>3.6</v>
      </c>
      <c r="N55" s="1" t="n">
        <v>3.3</v>
      </c>
      <c r="O55" s="1" t="n">
        <v>1973</v>
      </c>
      <c r="P55" s="1" t="n">
        <v>3500</v>
      </c>
      <c r="Q55" s="1" t="n">
        <v>23000</v>
      </c>
      <c r="R55" s="1" t="s">
        <v>292</v>
      </c>
      <c r="S55" s="5" t="s">
        <v>89</v>
      </c>
      <c r="T55" s="1" t="s">
        <v>53</v>
      </c>
      <c r="U55" s="1" t="s">
        <v>293</v>
      </c>
      <c r="W55" s="5" t="s">
        <v>294</v>
      </c>
      <c r="X55" s="5" t="s">
        <v>295</v>
      </c>
      <c r="Y55" s="1" t="n">
        <v>37.8</v>
      </c>
      <c r="Z55" s="4" t="s">
        <v>296</v>
      </c>
      <c r="AA55" s="1" t="n">
        <v>13</v>
      </c>
    </row>
    <row r="56" customFormat="false" ht="15" hidden="false" customHeight="false" outlineLevel="0" collapsed="false">
      <c r="A56" s="1" t="s">
        <v>289</v>
      </c>
      <c r="B56" s="1" t="s">
        <v>297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298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299</v>
      </c>
      <c r="S56" s="5" t="s">
        <v>89</v>
      </c>
      <c r="T56" s="1" t="s">
        <v>53</v>
      </c>
      <c r="U56" s="1" t="s">
        <v>300</v>
      </c>
      <c r="W56" s="5" t="s">
        <v>301</v>
      </c>
      <c r="X56" s="1" t="s">
        <v>35</v>
      </c>
      <c r="Y56" s="1" t="n">
        <v>29.5</v>
      </c>
      <c r="Z56" s="4" t="s">
        <v>302</v>
      </c>
      <c r="AA56" s="1" t="n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2026-07-01T14:12:27Z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