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<sst xmlns="http://schemas.openxmlformats.org/spreadsheetml/2006/main" count="253" uniqueCount="154">
  <si>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</si>
  <si>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</si>
  <si>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</si>
  <si>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</si>
  <si>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</si>
  <si>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</si>
  <si>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</si>
  <si>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</si>
  <si>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</si>
  <si>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</si>
  <si>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</si>
  <si>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</si>
  <si>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</si>
  <si>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</si>
  <si>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</si>
  <si>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</si>
  <si>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</si>
  <si>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</si>
  <si>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</si>
  <si>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</si>
  <si>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Snapshots</t>
  </si>
  <si>
    <t xml:space="preserve">HQ</t>
  </si>
  <si>
    <t xml:space="preserve">LinkedIn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</si>
  <si>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</si>
  <si>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</si>
  <si>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</si>
  <si>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</si>
  <si>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</si>
  <si>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</si>
  <si>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</si>
  <si>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</si>
  <si>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</si>
  <si>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</si>
  <si>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</si>
  <si>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</si>
  <si>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</si>
  <si>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</si>
  <si>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</si>
  <si>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</si>
  <si>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</si>
  <si>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</si>
  <si>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</si>
  <si>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</si>
  <si>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Nagarro</t>
  </si>
  <si>
    <t xml:space="preserve">https://www.ambitionbox.com/reviews/nagarro-reviews</t>
  </si>
  <si>
    <t xml:space="preserve">IT Services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</si>
  <si>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</si>
  <si>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</si>
  <si>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</si>
  <si>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</si>
  <si>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</si>
  <si>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</si>
  <si>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</si>
  <si>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</si>
  <si>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</si>
  <si>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</si>
  <si>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</si>
  <si>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</si>
  <si>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</si>
  <si>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</si>
  <si>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</si>
  <si>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</si>
  <si>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</si>
  <si>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</si>
  <si>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</si>
  <si>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</si>
  <si>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</si>
  <si>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</si>
  <si>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</si>
  <si>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</si>
  <si>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</si>
  <si>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</si>
  <si>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</si>
  <si>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</si>
  <si>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</si>
  <si>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Internet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</si>
  <si>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</si>
  <si>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</si>
  <si>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</si>
  <si>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Genpact</t>
  </si>
  <si>
    <t xml:space="preserve">https://www.ambitionbox.com/reviews/genpact-reviews</t>
  </si>
  <si>
    <t xml:space="preserve">https://www.genpact.com/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</si>
  <si>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</si>
  <si>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</si>
  <si>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</si>
  <si>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</si>
  <si>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Amazon</t>
  </si>
  <si>
    <t xml:space="preserve">https://www.ambitionbox.com/reviews/amazon-reviews</t>
  </si>
  <si>
    <t xml:space="preserve">https://amazon.jobs/en/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</si>
  <si>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</si>
  <si>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</si>
  <si>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</si>
  <si>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</si>
  <si>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</si>
  <si>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</si>
  <si>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</si>
  <si>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</si>
  <si>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</si>
  <si>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</si>
  <si>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</si>
  <si>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</si>
  <si>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</si>
  <si>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</si>
  <si>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</si>
  <si>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</si>
  <si>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</si>
  <si>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Tredence</t>
  </si>
  <si>
    <t xml:space="preserve">https://www.ambitionbox.com/overview/tredence-overview</t>
  </si>
  <si>
    <t xml:space="preserve">https://www.tredence.com/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</si>
  <si>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</si>
  <si>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</si>
  <si>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</si>
  <si>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</si>
  <si>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</si>
  <si>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</si>
  <si>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</si>
  <si>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</si>
  <si>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Chegg</t>
  </si>
  <si>
    <t xml:space="preserve">https://www.ambitionbox.com/overview/chegg-overview</t>
  </si>
  <si>
    <t xml:space="preserve">https://www.chegg.com/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</si>
  <si>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</si>
  <si>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</si>
  <si>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</si>
  <si>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Jun / 23 / 2026</t>
  </si>
  <si>
    <t xml:space="preserve">Bounteous x Accolite</t>
  </si>
  <si>
    <t xml:space="preserve">https://www.ambitionbox.com/overview/accolite-overview</t>
  </si>
  <si>
    <t xml:space="preserve">https://www.bounteous.com/</t>
  </si>
  <si>
    <t xml:space="preserve">Accolite Digital India Pvt. Ltd.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</si>
  <si>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</si>
  <si>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</si>
  <si>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</si>
  <si>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Management Consulting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</si>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</sst>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273600</xdr:colOff>
      <xdr:row>49</xdr:row>
      <xdr:rowOff>63000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1680" cy="8028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263520</xdr:colOff>
      <xdr:row>50</xdr:row>
      <xdr:rowOff>43920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1600" cy="8172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F1" activeCellId="0" sqref="F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9.06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8.19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2" t="s">
        <v>20</v>
      </c>
      <c r="V1" s="2" t="s">
        <v>21</v>
      </c>
      <c r="W1" s="2" t="s">
        <v>22</v>
      </c>
    </row>
    <row r="2" customFormat="false" ht="12.8" hidden="false" customHeight="false" outlineLevel="0" collapsed="false">
      <c r="A2" s="4" t="s">
        <v>23</v>
      </c>
      <c r="B2" s="1" t="s">
        <v>24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-25</v>
      </c>
      <c r="G2" s="1" t="s">
        <v>25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0" t="n">
        <v>2010</v>
      </c>
      <c r="P2" s="0" t="n">
        <v>3600</v>
      </c>
      <c r="Q2" s="0" t="n">
        <v>3600</v>
      </c>
      <c r="R2" s="1" t="s">
        <v>26</v>
      </c>
      <c r="S2" s="1" t="s">
        <v>27</v>
      </c>
      <c r="U2" s="1" t="s">
        <v>28</v>
      </c>
      <c r="V2" s="1" t="s">
        <v>29</v>
      </c>
      <c r="W2" s="1" t="s">
        <v>30</v>
      </c>
    </row>
    <row r="3" customFormat="false" ht="12.8" hidden="false" customHeight="false" outlineLevel="0" collapsed="false">
      <c r="A3" s="4" t="s">
        <v>23</v>
      </c>
      <c r="B3" s="1" t="s">
        <v>31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-6</v>
      </c>
      <c r="G3" s="1" t="s">
        <v>32</v>
      </c>
      <c r="H3" s="1" t="n">
        <v>3.6</v>
      </c>
      <c r="I3" s="1" t="n">
        <v>2.7</v>
      </c>
      <c r="J3" s="1" t="n">
        <v>3.6</v>
      </c>
      <c r="K3" s="1" t="n">
        <v>3.3</v>
      </c>
      <c r="L3" s="1" t="n">
        <v>3.5</v>
      </c>
      <c r="M3" s="1" t="n">
        <v>3.9</v>
      </c>
      <c r="N3" s="1" t="n">
        <v>2.6</v>
      </c>
      <c r="O3" s="0" t="n">
        <v>1981</v>
      </c>
      <c r="P3" s="0" t="n">
        <v>100000</v>
      </c>
      <c r="Q3" s="0" t="n">
        <v>100000</v>
      </c>
      <c r="R3" s="1" t="s">
        <v>33</v>
      </c>
      <c r="S3" s="1" t="s">
        <v>34</v>
      </c>
      <c r="U3" s="1"/>
      <c r="V3" s="1"/>
      <c r="W3" s="1"/>
    </row>
    <row r="4" customFormat="false" ht="12.8" hidden="false" customHeight="false" outlineLevel="0" collapsed="false">
      <c r="A4" s="4" t="s">
        <v>23</v>
      </c>
      <c r="B4" s="1" t="s">
        <v>35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-0</v>
      </c>
      <c r="G4" s="1" t="s">
        <v>36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5" t="n">
        <v>1989</v>
      </c>
      <c r="P4" s="0" t="n">
        <v>300000</v>
      </c>
      <c r="Q4" s="5" t="n">
        <v>799000</v>
      </c>
      <c r="R4" s="1" t="s">
        <v>37</v>
      </c>
      <c r="S4" s="1" t="s">
        <v>34</v>
      </c>
      <c r="T4" s="0" t="s">
        <v>38</v>
      </c>
      <c r="U4" s="1"/>
      <c r="V4" s="1"/>
      <c r="W4" s="1"/>
    </row>
    <row r="5" customFormat="false" ht="12.8" hidden="false" customHeight="false" outlineLevel="0" collapsed="false">
      <c r="A5" s="4" t="s">
        <v>23</v>
      </c>
      <c r="B5" s="1" t="s">
        <v>39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-3</v>
      </c>
      <c r="G5" s="1" t="s">
        <v>40</v>
      </c>
      <c r="H5" s="1" t="n">
        <v>3.5</v>
      </c>
      <c r="I5" s="1" t="n">
        <v>3.2</v>
      </c>
      <c r="J5" s="1" t="n">
        <v>3.6</v>
      </c>
      <c r="K5" s="1" t="n">
        <v>3.4</v>
      </c>
      <c r="L5" s="1" t="n">
        <v>3.6</v>
      </c>
      <c r="M5" s="1" t="n">
        <v>3.6</v>
      </c>
      <c r="N5" s="1" t="n">
        <v>2.9</v>
      </c>
      <c r="O5" s="0" t="n">
        <v>1994</v>
      </c>
      <c r="P5" s="5" t="n">
        <v>256000</v>
      </c>
      <c r="Q5" s="0" t="n">
        <v>357600</v>
      </c>
      <c r="R5" s="1" t="s">
        <v>41</v>
      </c>
      <c r="S5" s="1" t="s">
        <v>34</v>
      </c>
      <c r="T5" s="0" t="s">
        <v>42</v>
      </c>
      <c r="U5" s="1"/>
      <c r="V5" s="1"/>
      <c r="W5" s="1"/>
    </row>
    <row r="6" customFormat="false" ht="12.8" hidden="false" customHeight="false" outlineLevel="0" collapsed="false">
      <c r="A6" s="4" t="s">
        <v>23</v>
      </c>
      <c r="B6" s="1" t="s">
        <v>43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5</v>
      </c>
      <c r="G6" s="1" t="s">
        <v>44</v>
      </c>
      <c r="N6" s="1"/>
      <c r="R6" s="1"/>
      <c r="S6" s="1" t="s">
        <v>45</v>
      </c>
      <c r="U6" s="1"/>
      <c r="V6" s="1"/>
      <c r="W6" s="1"/>
    </row>
    <row r="7" customFormat="false" ht="12.8" hidden="false" customHeight="false" outlineLevel="0" collapsed="false">
      <c r="A7" s="4" t="s">
        <v>23</v>
      </c>
      <c r="B7" s="1" t="s">
        <v>46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10</v>
      </c>
      <c r="G7" s="1" t="s">
        <v>47</v>
      </c>
      <c r="N7" s="1"/>
      <c r="R7" s="1"/>
      <c r="S7" s="1" t="s">
        <v>48</v>
      </c>
      <c r="U7" s="1"/>
      <c r="V7" s="1"/>
      <c r="W7" s="1"/>
    </row>
    <row r="8" customFormat="false" ht="12.8" hidden="false" customHeight="false" outlineLevel="0" collapsed="false">
      <c r="A8" s="1" t="s">
        <v>49</v>
      </c>
      <c r="B8" s="1" t="s">
        <v>50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10</v>
      </c>
      <c r="G8" s="1" t="s">
        <v>51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0" t="n">
        <v>2004</v>
      </c>
      <c r="P8" s="0" t="n">
        <v>5000</v>
      </c>
      <c r="Q8" s="0" t="n">
        <v>5000</v>
      </c>
      <c r="R8" s="6" t="s">
        <v>52</v>
      </c>
      <c r="S8" s="7" t="s">
        <v>34</v>
      </c>
    </row>
    <row r="9" customFormat="false" ht="12.8" hidden="false" customHeight="false" outlineLevel="0" collapsed="false">
      <c r="A9" s="1" t="s">
        <v>53</v>
      </c>
      <c r="B9" s="1" t="s">
        <v>54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-0</v>
      </c>
      <c r="G9" s="1" t="s">
        <v>55</v>
      </c>
      <c r="H9" s="1" t="n">
        <v>3.6</v>
      </c>
      <c r="I9" s="1" t="n">
        <v>3.3</v>
      </c>
      <c r="J9" s="1" t="n">
        <v>4</v>
      </c>
      <c r="K9" s="1" t="n">
        <v>3.4</v>
      </c>
      <c r="L9" s="1" t="n">
        <v>3.8</v>
      </c>
      <c r="M9" s="1" t="n">
        <v>3.7</v>
      </c>
      <c r="N9" s="1" t="n">
        <v>2.7</v>
      </c>
      <c r="O9" s="0" t="n">
        <v>1991</v>
      </c>
      <c r="P9" s="0" t="n">
        <v>50000</v>
      </c>
      <c r="Q9" s="0" t="n">
        <v>160000</v>
      </c>
      <c r="R9" s="6" t="s">
        <v>56</v>
      </c>
      <c r="S9" s="6" t="s">
        <v>34</v>
      </c>
    </row>
    <row r="10" customFormat="false" ht="12.8" hidden="false" customHeight="false" outlineLevel="0" collapsed="false">
      <c r="A10" s="1" t="s">
        <v>53</v>
      </c>
      <c r="B10" s="1" t="s">
        <v>57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5</v>
      </c>
      <c r="G10" s="1" t="s">
        <v>58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0" t="n">
        <v>1911</v>
      </c>
      <c r="P10" s="0" t="n">
        <v>135000</v>
      </c>
      <c r="Q10" s="0" t="n">
        <v>268000</v>
      </c>
      <c r="R10" s="6" t="s">
        <v>56</v>
      </c>
      <c r="S10" s="6" t="s">
        <v>34</v>
      </c>
      <c r="T10" s="6" t="s">
        <v>48</v>
      </c>
    </row>
    <row r="11" customFormat="false" ht="12.8" hidden="false" customHeight="false" outlineLevel="0" collapsed="false">
      <c r="A11" s="1" t="s">
        <v>59</v>
      </c>
      <c r="B11" s="1" t="s">
        <v>60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-17</v>
      </c>
      <c r="G11" s="1" t="s">
        <v>61</v>
      </c>
      <c r="N11" s="1"/>
    </row>
    <row r="12" s="1" customFormat="true" ht="12.8" hidden="false" customHeight="false" outlineLevel="0" collapsed="false">
      <c r="A12" s="7" t="s">
        <v>59</v>
      </c>
      <c r="B12" s="7" t="s">
        <v>62</v>
      </c>
      <c r="C12" s="7" t="n">
        <v>3.3</v>
      </c>
      <c r="D12" s="7" t="n">
        <v>120000</v>
      </c>
      <c r="E12" s="7" t="n">
        <v>-8</v>
      </c>
      <c r="F12" s="1" t="n">
        <f aca="false">ROUND((C12-AVERAGE(C2:C210))/AVERAGE(C2:C210) * 100,0)</f>
        <v>-11</v>
      </c>
      <c r="G12" s="7" t="s">
        <v>63</v>
      </c>
      <c r="H12" s="7" t="n">
        <v>3.2</v>
      </c>
      <c r="I12" s="7" t="n">
        <v>2.4</v>
      </c>
      <c r="J12" s="7" t="n">
        <v>3.5</v>
      </c>
      <c r="K12" s="7" t="n">
        <v>3</v>
      </c>
      <c r="L12" s="7" t="n">
        <v>3.2</v>
      </c>
      <c r="M12" s="7" t="n">
        <v>3.8</v>
      </c>
      <c r="N12" s="7" t="n">
        <v>2.3</v>
      </c>
      <c r="T12" s="0"/>
    </row>
    <row r="13" customFormat="false" ht="12.8" hidden="false" customHeight="false" outlineLevel="0" collapsed="false">
      <c r="A13" s="1" t="s">
        <v>59</v>
      </c>
      <c r="B13" s="1" t="s">
        <v>64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-9</v>
      </c>
      <c r="G13" s="1" t="s">
        <v>65</v>
      </c>
      <c r="N13" s="1"/>
    </row>
    <row r="14" customFormat="false" ht="12.8" hidden="false" customHeight="false" outlineLevel="0" collapsed="false">
      <c r="A14" s="1" t="s">
        <v>66</v>
      </c>
      <c r="B14" s="1" t="s">
        <v>67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-9</v>
      </c>
      <c r="G14" s="1" t="s">
        <v>68</v>
      </c>
      <c r="N14" s="1"/>
    </row>
    <row r="15" customFormat="false" ht="12.8" hidden="false" customHeight="false" outlineLevel="0" collapsed="false">
      <c r="A15" s="1" t="s">
        <v>66</v>
      </c>
      <c r="B15" s="1" t="s">
        <v>69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-11</v>
      </c>
      <c r="G15" s="1" t="s">
        <v>70</v>
      </c>
      <c r="N15" s="1"/>
    </row>
    <row r="16" customFormat="false" ht="12.8" hidden="false" customHeight="false" outlineLevel="0" collapsed="false">
      <c r="A16" s="1" t="s">
        <v>66</v>
      </c>
      <c r="B16" s="1" t="s">
        <v>71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5</v>
      </c>
      <c r="G16" s="1" t="s">
        <v>72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5" t="n">
        <v>1930</v>
      </c>
      <c r="P16" s="0" t="n">
        <v>3600</v>
      </c>
      <c r="Q16" s="0" t="n">
        <v>21000</v>
      </c>
      <c r="R16" s="6" t="s">
        <v>73</v>
      </c>
      <c r="S16" s="6" t="s">
        <v>74</v>
      </c>
      <c r="T16" s="6" t="s">
        <v>75</v>
      </c>
    </row>
    <row r="17" customFormat="false" ht="12.8" hidden="false" customHeight="false" outlineLevel="0" collapsed="false">
      <c r="A17" s="1" t="s">
        <v>66</v>
      </c>
      <c r="B17" s="1" t="s">
        <v>76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26</v>
      </c>
      <c r="G17" s="1" t="s">
        <v>77</v>
      </c>
      <c r="H17" s="1" t="n">
        <v>4.7</v>
      </c>
      <c r="I17" s="1" t="n">
        <v>4.4</v>
      </c>
      <c r="J17" s="1" t="n">
        <v>4.7</v>
      </c>
      <c r="K17" s="1" t="n">
        <v>4.5</v>
      </c>
      <c r="L17" s="1" t="n">
        <v>4.4</v>
      </c>
      <c r="M17" s="1" t="n">
        <v>4.6</v>
      </c>
      <c r="N17" s="1" t="n">
        <v>4.2</v>
      </c>
      <c r="O17" s="0" t="n">
        <v>2016</v>
      </c>
      <c r="P17" s="0" t="n">
        <v>140</v>
      </c>
      <c r="Q17" s="0" t="n">
        <v>140</v>
      </c>
      <c r="R17" s="6" t="s">
        <v>78</v>
      </c>
      <c r="S17" s="6" t="s">
        <v>34</v>
      </c>
    </row>
    <row r="18" customFormat="false" ht="12.8" hidden="false" customHeight="false" outlineLevel="0" collapsed="false">
      <c r="A18" s="1" t="s">
        <v>66</v>
      </c>
      <c r="B18" s="1" t="s">
        <v>79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-3</v>
      </c>
      <c r="G18" s="1" t="s">
        <v>80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0" t="n">
        <v>1997</v>
      </c>
      <c r="P18" s="0" t="n">
        <v>90000</v>
      </c>
      <c r="Q18" s="5" t="n">
        <v>145000</v>
      </c>
      <c r="R18" s="6" t="s">
        <v>81</v>
      </c>
      <c r="S18" s="6" t="s">
        <v>38</v>
      </c>
      <c r="T18" s="6" t="s">
        <v>48</v>
      </c>
    </row>
    <row r="19" customFormat="false" ht="12.8" hidden="false" customHeight="false" outlineLevel="0" collapsed="false">
      <c r="A19" s="1" t="s">
        <v>66</v>
      </c>
      <c r="B19" s="1" t="s">
        <v>82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18</v>
      </c>
      <c r="G19" s="1" t="s">
        <v>83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7" t="n">
        <v>190820</v>
      </c>
      <c r="R19" s="7" t="s">
        <v>84</v>
      </c>
      <c r="S19" s="7" t="s">
        <v>85</v>
      </c>
    </row>
    <row r="20" customFormat="false" ht="12.8" hidden="false" customHeight="false" outlineLevel="0" collapsed="false">
      <c r="A20" s="1" t="s">
        <v>66</v>
      </c>
      <c r="B20" s="1" t="s">
        <v>86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5</v>
      </c>
      <c r="G20" s="1" t="s">
        <v>87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5" t="n">
        <v>1994</v>
      </c>
      <c r="P20" s="0" t="n">
        <v>110000</v>
      </c>
      <c r="Q20" s="5" t="n">
        <v>1576000</v>
      </c>
      <c r="R20" s="6" t="s">
        <v>88</v>
      </c>
      <c r="S20" s="6" t="s">
        <v>75</v>
      </c>
    </row>
    <row r="21" customFormat="false" ht="12.8" hidden="false" customHeight="false" outlineLevel="0" collapsed="false">
      <c r="A21" s="1" t="s">
        <v>89</v>
      </c>
      <c r="B21" s="1" t="s">
        <v>90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-3</v>
      </c>
      <c r="G21" s="1" t="s">
        <v>91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  <c r="O21" s="5" t="n">
        <v>2002</v>
      </c>
      <c r="P21" s="0" t="n">
        <v>150</v>
      </c>
      <c r="Q21" s="0" t="n">
        <v>4800</v>
      </c>
      <c r="R21" s="6" t="s">
        <v>92</v>
      </c>
      <c r="S21" s="6" t="s">
        <v>85</v>
      </c>
    </row>
    <row r="22" customFormat="false" ht="12.8" hidden="false" customHeight="false" outlineLevel="0" collapsed="false">
      <c r="A22" s="1" t="s">
        <v>89</v>
      </c>
      <c r="B22" s="1" t="s">
        <v>93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10</v>
      </c>
      <c r="G22" s="1" t="s">
        <v>94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5" t="n">
        <v>1847</v>
      </c>
      <c r="P22" s="0" t="n">
        <v>5000</v>
      </c>
      <c r="Q22" s="0" t="n">
        <v>100000</v>
      </c>
      <c r="R22" s="6" t="s">
        <v>95</v>
      </c>
      <c r="S22" s="6" t="s">
        <v>96</v>
      </c>
    </row>
    <row r="23" customFormat="false" ht="12.8" hidden="false" customHeight="false" outlineLevel="0" collapsed="false">
      <c r="A23" s="1" t="s">
        <v>97</v>
      </c>
      <c r="B23" s="1" t="s">
        <v>98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-11</v>
      </c>
      <c r="G23" s="1" t="s">
        <v>99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O23" s="0" t="n">
        <v>1901</v>
      </c>
      <c r="P23" s="0" t="n">
        <v>4000</v>
      </c>
      <c r="Q23" s="5" t="n">
        <v>67000</v>
      </c>
      <c r="R23" s="7" t="s">
        <v>100</v>
      </c>
      <c r="S23" s="7" t="s">
        <v>101</v>
      </c>
    </row>
    <row r="24" customFormat="false" ht="12.8" hidden="false" customHeight="false" outlineLevel="0" collapsed="false">
      <c r="A24" s="1" t="s">
        <v>97</v>
      </c>
      <c r="B24" s="1" t="s">
        <v>102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10</v>
      </c>
      <c r="G24" s="1" t="s">
        <v>103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0" t="n">
        <v>2020</v>
      </c>
      <c r="P24" s="0" t="n">
        <v>500</v>
      </c>
      <c r="Q24" s="0" t="n">
        <v>5000</v>
      </c>
      <c r="R24" s="7" t="s">
        <v>104</v>
      </c>
      <c r="S24" s="7" t="s">
        <v>105</v>
      </c>
    </row>
    <row r="25" customFormat="false" ht="12.8" hidden="false" customHeight="false" outlineLevel="0" collapsed="false">
      <c r="A25" s="1" t="s">
        <v>97</v>
      </c>
      <c r="B25" s="1" t="s">
        <v>106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-11</v>
      </c>
      <c r="G25" s="1" t="s">
        <v>107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O25" s="0" t="n">
        <v>2013</v>
      </c>
      <c r="P25" s="0" t="n">
        <v>5000</v>
      </c>
      <c r="Q25" s="0" t="n">
        <v>5000</v>
      </c>
      <c r="R25" s="7" t="s">
        <v>108</v>
      </c>
      <c r="S25" s="7" t="s">
        <v>34</v>
      </c>
    </row>
    <row r="26" customFormat="false" ht="12.8" hidden="false" customHeight="false" outlineLevel="0" collapsed="false">
      <c r="A26" s="1" t="s">
        <v>109</v>
      </c>
      <c r="B26" s="8" t="s">
        <v>110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-3</v>
      </c>
      <c r="G26" s="1" t="s">
        <v>111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7" t="s">
        <v>112</v>
      </c>
      <c r="S26" s="7" t="s">
        <v>34</v>
      </c>
    </row>
    <row r="27" customFormat="false" ht="12.8" hidden="false" customHeight="false" outlineLevel="0" collapsed="false">
      <c r="A27" s="1" t="s">
        <v>109</v>
      </c>
      <c r="B27" s="1" t="s">
        <v>113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24</v>
      </c>
      <c r="G27" s="1" t="s">
        <v>114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O27" s="5" t="n">
        <v>1832</v>
      </c>
      <c r="P27" s="0" t="n">
        <v>1000</v>
      </c>
      <c r="Q27" s="0" t="n">
        <v>4300</v>
      </c>
      <c r="R27" s="7" t="s">
        <v>115</v>
      </c>
      <c r="S27" s="7" t="s">
        <v>116</v>
      </c>
    </row>
    <row r="28" customFormat="false" ht="12.8" hidden="false" customHeight="false" outlineLevel="0" collapsed="false">
      <c r="A28" s="1" t="s">
        <v>109</v>
      </c>
      <c r="B28" s="1" t="s">
        <v>117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10</v>
      </c>
      <c r="G28" s="1" t="s">
        <v>118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0" t="n">
        <v>2005</v>
      </c>
      <c r="P28" s="0" t="n">
        <v>1000</v>
      </c>
      <c r="Q28" s="0" t="n">
        <v>5000</v>
      </c>
      <c r="R28" s="7" t="s">
        <v>119</v>
      </c>
      <c r="S28" s="7" t="s">
        <v>116</v>
      </c>
    </row>
    <row r="29" customFormat="false" ht="12.8" hidden="false" customHeight="false" outlineLevel="0" collapsed="false">
      <c r="A29" s="1" t="s">
        <v>109</v>
      </c>
      <c r="B29" s="1" t="s">
        <v>120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21</v>
      </c>
      <c r="G29" s="1" t="s">
        <v>121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7" t="n">
        <v>50</v>
      </c>
      <c r="Q29" s="1" t="n">
        <v>200</v>
      </c>
      <c r="R29" s="7" t="s">
        <v>122</v>
      </c>
      <c r="S29" s="7" t="s">
        <v>116</v>
      </c>
    </row>
    <row r="30" customFormat="false" ht="12.8" hidden="false" customHeight="false" outlineLevel="0" collapsed="false">
      <c r="A30" s="1" t="s">
        <v>123</v>
      </c>
      <c r="B30" s="1" t="s">
        <v>124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-14</v>
      </c>
      <c r="G30" s="1" t="s">
        <v>125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7" t="s">
        <v>126</v>
      </c>
      <c r="S30" s="7" t="s">
        <v>34</v>
      </c>
      <c r="U30" s="1" t="s">
        <v>127</v>
      </c>
    </row>
    <row r="31" customFormat="false" ht="12.8" hidden="false" customHeight="false" outlineLevel="0" collapsed="false">
      <c r="A31" s="1" t="s">
        <v>123</v>
      </c>
      <c r="B31" s="1" t="s">
        <v>128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-3</v>
      </c>
      <c r="G31" s="1" t="s">
        <v>129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7" t="s">
        <v>130</v>
      </c>
      <c r="S31" s="7" t="s">
        <v>131</v>
      </c>
    </row>
    <row r="32" customFormat="false" ht="12.8" hidden="false" customHeight="false" outlineLevel="0" collapsed="false">
      <c r="A32" s="1" t="s">
        <v>123</v>
      </c>
      <c r="B32" s="1" t="s">
        <v>132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5</v>
      </c>
      <c r="G32" s="1" t="s">
        <v>133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7" t="s">
        <v>134</v>
      </c>
      <c r="S32" s="7" t="s">
        <v>38</v>
      </c>
    </row>
    <row r="33" customFormat="false" ht="12.8" hidden="false" customHeight="false" outlineLevel="0" collapsed="false">
      <c r="A33" s="1" t="s">
        <v>123</v>
      </c>
      <c r="B33" s="1" t="s">
        <v>135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-3</v>
      </c>
      <c r="G33" s="1" t="s">
        <v>136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7" t="s">
        <v>137</v>
      </c>
      <c r="S33" s="7" t="s">
        <v>138</v>
      </c>
    </row>
    <row r="34" customFormat="false" ht="12.8" hidden="false" customHeight="false" outlineLevel="0" collapsed="false">
      <c r="A34" s="1" t="s">
        <v>123</v>
      </c>
      <c r="B34" s="1" t="s">
        <v>139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-3</v>
      </c>
      <c r="G34" s="1" t="s">
        <v>140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7" t="s">
        <v>141</v>
      </c>
      <c r="S34" s="7" t="s">
        <v>34</v>
      </c>
    </row>
    <row r="35" customFormat="false" ht="12.8" hidden="false" customHeight="false" outlineLevel="0" collapsed="false">
      <c r="A35" s="1" t="s">
        <v>142</v>
      </c>
      <c r="B35" s="1" t="s">
        <v>143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8</v>
      </c>
      <c r="G35" s="1" t="s">
        <v>144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1" t="n">
        <v>3.1</v>
      </c>
      <c r="O35" s="1" t="n">
        <v>2002</v>
      </c>
      <c r="P35" s="1" t="n">
        <v>50000</v>
      </c>
      <c r="Q35" s="1" t="n">
        <v>100000</v>
      </c>
      <c r="R35" s="7" t="s">
        <v>145</v>
      </c>
      <c r="S35" s="7" t="s">
        <v>34</v>
      </c>
    </row>
    <row r="36" customFormat="false" ht="12.8" hidden="false" customHeight="false" outlineLevel="0" collapsed="false">
      <c r="A36" s="1" t="s">
        <v>146</v>
      </c>
      <c r="B36" s="1" t="s">
        <v>50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51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0" t="n">
        <v>2004</v>
      </c>
      <c r="P36" s="0" t="n">
        <v>5000</v>
      </c>
      <c r="Q36" s="0" t="n">
        <v>5000</v>
      </c>
      <c r="R36" s="6" t="s">
        <v>52</v>
      </c>
      <c r="S36" s="7" t="s">
        <v>34</v>
      </c>
    </row>
    <row r="37" customFormat="false" ht="12.8" hidden="false" customHeight="false" outlineLevel="0" collapsed="false">
      <c r="A37" s="1" t="s">
        <v>146</v>
      </c>
      <c r="B37" s="1" t="s">
        <v>24</v>
      </c>
      <c r="C37" s="1" t="n">
        <v>2.7</v>
      </c>
      <c r="D37" s="1" t="n">
        <v>802</v>
      </c>
      <c r="E37" s="1" t="n">
        <v>-25</v>
      </c>
      <c r="F37" s="1" t="n">
        <f aca="false">ROUND((C37-AVERAGE(C2:C235))/AVERAGE(C2:C235) * 100,0)</f>
        <v>-27</v>
      </c>
      <c r="G37" s="1" t="s">
        <v>25</v>
      </c>
      <c r="H37" s="1" t="n">
        <v>2.6</v>
      </c>
      <c r="I37" s="1" t="n">
        <v>2.9</v>
      </c>
      <c r="J37" s="1" t="n">
        <v>2.6</v>
      </c>
      <c r="K37" s="1" t="n">
        <v>2.5</v>
      </c>
      <c r="L37" s="1" t="n">
        <v>2.7</v>
      </c>
      <c r="M37" s="1" t="n">
        <v>2.9</v>
      </c>
      <c r="N37" s="0" t="n">
        <v>2.6</v>
      </c>
      <c r="O37" s="0" t="n">
        <v>2010</v>
      </c>
      <c r="P37" s="0" t="n">
        <v>3600</v>
      </c>
      <c r="Q37" s="0" t="n">
        <v>3600</v>
      </c>
      <c r="R37" s="6" t="s">
        <v>26</v>
      </c>
      <c r="S37" s="6" t="s">
        <v>27</v>
      </c>
      <c r="U37" s="6" t="s">
        <v>28</v>
      </c>
      <c r="V37" s="6" t="s">
        <v>29</v>
      </c>
      <c r="W37" s="6" t="s">
        <v>30</v>
      </c>
    </row>
    <row r="38" customFormat="false" ht="12.8" hidden="false" customHeight="false" outlineLevel="0" collapsed="false">
      <c r="A38" s="1" t="s">
        <v>146</v>
      </c>
      <c r="B38" s="1" t="s">
        <v>31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-6</v>
      </c>
      <c r="G38" s="1" t="s">
        <v>32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0" t="n">
        <v>1981</v>
      </c>
      <c r="P38" s="0" t="n">
        <v>100000</v>
      </c>
      <c r="Q38" s="0" t="n">
        <v>100000</v>
      </c>
      <c r="R38" s="1" t="s">
        <v>33</v>
      </c>
      <c r="S38" s="1" t="s">
        <v>34</v>
      </c>
      <c r="U38" s="1"/>
      <c r="V38" s="1"/>
      <c r="W38" s="1"/>
    </row>
    <row r="39" customFormat="false" ht="12.8" hidden="false" customHeight="false" outlineLevel="0" collapsed="false">
      <c r="A39" s="1" t="s">
        <v>146</v>
      </c>
      <c r="B39" s="5" t="s">
        <v>147</v>
      </c>
      <c r="C39" s="1" t="n">
        <v>3.5</v>
      </c>
      <c r="D39" s="1" t="n">
        <v>1500</v>
      </c>
      <c r="E39" s="1" t="n">
        <v>-3</v>
      </c>
      <c r="F39" s="1" t="n">
        <f aca="false">ROUND((C39-AVERAGE(C2:C237))/AVERAGE(C2:C237) * 100,0)</f>
        <v>-6</v>
      </c>
      <c r="G39" s="1" t="s">
        <v>148</v>
      </c>
      <c r="H39" s="1" t="n">
        <v>3.5</v>
      </c>
      <c r="I39" s="1" t="n">
        <v>3.7</v>
      </c>
      <c r="J39" s="1" t="n">
        <v>3.6</v>
      </c>
      <c r="K39" s="1" t="n">
        <v>3.3</v>
      </c>
      <c r="L39" s="1" t="n">
        <v>3.5</v>
      </c>
      <c r="M39" s="1" t="n">
        <v>3</v>
      </c>
      <c r="N39" s="0" t="n">
        <v>3</v>
      </c>
      <c r="O39" s="5" t="n">
        <v>2012</v>
      </c>
      <c r="P39" s="0" t="n">
        <v>5000</v>
      </c>
      <c r="Q39" s="0" t="n">
        <v>10000</v>
      </c>
      <c r="R39" s="6" t="s">
        <v>149</v>
      </c>
      <c r="S39" s="1" t="s">
        <v>34</v>
      </c>
    </row>
    <row r="40" customFormat="false" ht="12.8" hidden="false" customHeight="false" outlineLevel="0" collapsed="false">
      <c r="A40" s="1" t="s">
        <v>146</v>
      </c>
      <c r="B40" s="1" t="s">
        <v>150</v>
      </c>
      <c r="C40" s="1" t="s">
        <v>151</v>
      </c>
      <c r="D40" s="1" t="s">
        <v>151</v>
      </c>
      <c r="E40" s="1" t="s">
        <v>151</v>
      </c>
      <c r="F40" s="1" t="s">
        <v>151</v>
      </c>
      <c r="G40" s="1" t="s">
        <v>152</v>
      </c>
      <c r="H40" s="1" t="s">
        <v>151</v>
      </c>
      <c r="I40" s="1" t="s">
        <v>151</v>
      </c>
      <c r="J40" s="1" t="s">
        <v>151</v>
      </c>
      <c r="K40" s="1" t="s">
        <v>151</v>
      </c>
      <c r="L40" s="1" t="s">
        <v>151</v>
      </c>
      <c r="M40" s="1" t="s">
        <v>151</v>
      </c>
      <c r="N40" s="6" t="s">
        <v>151</v>
      </c>
      <c r="O40" s="0" t="n">
        <v>2017</v>
      </c>
      <c r="P40" s="6" t="s">
        <v>151</v>
      </c>
      <c r="Q40" s="0" t="n">
        <v>50</v>
      </c>
      <c r="R40" s="6" t="s">
        <v>153</v>
      </c>
      <c r="S40" s="7" t="s">
        <v>116</v>
      </c>
    </row>
    <row r="41" customFormat="false" ht="12.8" hidden="false" customHeight="false" outlineLevel="0" collapsed="false">
      <c r="A41" s="1" t="s">
        <v>146</v>
      </c>
      <c r="B41" s="1" t="s">
        <v>35</v>
      </c>
      <c r="C41" s="1" t="n">
        <v>3.7</v>
      </c>
      <c r="D41" s="1" t="n">
        <v>74800</v>
      </c>
      <c r="E41" s="1" t="n">
        <v>3</v>
      </c>
      <c r="F41" s="1" t="n">
        <f aca="false">ROUND((C41-AVERAGE(C2:C239))/AVERAGE(C2:C239) * 100,0)</f>
        <v>-0</v>
      </c>
      <c r="G41" s="1" t="s">
        <v>36</v>
      </c>
      <c r="H41" s="1" t="n">
        <v>3.7</v>
      </c>
      <c r="I41" s="1" t="n">
        <v>3.2</v>
      </c>
      <c r="J41" s="1" t="n">
        <v>3.6</v>
      </c>
      <c r="K41" s="1" t="n">
        <v>3.4</v>
      </c>
      <c r="L41" s="1" t="n">
        <v>3.6</v>
      </c>
      <c r="M41" s="1" t="n">
        <v>3.6</v>
      </c>
      <c r="N41" s="0" t="n">
        <v>2.8</v>
      </c>
      <c r="O41" s="0" t="n">
        <v>1989</v>
      </c>
      <c r="P41" s="0" t="n">
        <v>300000</v>
      </c>
      <c r="Q41" s="0" t="n">
        <v>799000</v>
      </c>
      <c r="R41" s="6" t="s">
        <v>37</v>
      </c>
      <c r="S41" s="6" t="s">
        <v>34</v>
      </c>
      <c r="T41" s="6" t="s">
        <v>38</v>
      </c>
    </row>
    <row r="42" customFormat="false" ht="12.8" hidden="false" customHeight="false" outlineLevel="0" collapsed="false">
      <c r="A42" s="1" t="s">
        <v>146</v>
      </c>
      <c r="B42" s="1" t="s">
        <v>39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-0</v>
      </c>
      <c r="G42" s="1" t="s">
        <v>40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0" t="n">
        <v>2.9</v>
      </c>
      <c r="O42" s="0" t="n">
        <v>1994</v>
      </c>
      <c r="P42" s="0" t="n">
        <v>256000</v>
      </c>
      <c r="Q42" s="0" t="n">
        <v>357600</v>
      </c>
      <c r="R42" s="6" t="s">
        <v>41</v>
      </c>
      <c r="S42" s="6" t="s">
        <v>34</v>
      </c>
      <c r="T42" s="6" t="s">
        <v>42</v>
      </c>
    </row>
    <row r="43" customFormat="false" ht="12.8" hidden="false" customHeight="false" outlineLevel="0" collapsed="false">
      <c r="A43" s="1" t="s">
        <v>146</v>
      </c>
      <c r="B43" s="1" t="s">
        <v>57</v>
      </c>
      <c r="C43" s="1" t="n">
        <v>3.9</v>
      </c>
      <c r="D43" s="1" t="n">
        <v>26100</v>
      </c>
      <c r="E43" s="1" t="n">
        <v>8</v>
      </c>
      <c r="F43" s="1" t="n">
        <f aca="false">ROUND((C43-AVERAGE(C2:C241))/AVERAGE(C2:C241) * 100,0)</f>
        <v>5</v>
      </c>
      <c r="G43" s="1" t="s">
        <v>58</v>
      </c>
      <c r="H43" s="1" t="n">
        <v>3.9</v>
      </c>
      <c r="I43" s="1" t="n">
        <v>3.5</v>
      </c>
      <c r="J43" s="1" t="n">
        <v>4</v>
      </c>
      <c r="K43" s="1" t="n">
        <v>3.6</v>
      </c>
      <c r="L43" s="1" t="n">
        <v>3.9</v>
      </c>
      <c r="M43" s="1" t="n">
        <v>3.9</v>
      </c>
      <c r="N43" s="1" t="n">
        <v>3</v>
      </c>
      <c r="O43" s="0" t="n">
        <v>1911</v>
      </c>
      <c r="P43" s="0" t="n">
        <v>135000</v>
      </c>
      <c r="Q43" s="0" t="n">
        <v>268000</v>
      </c>
      <c r="R43" s="6" t="s">
        <v>56</v>
      </c>
      <c r="S43" s="6" t="s">
        <v>34</v>
      </c>
      <c r="T43" s="6" t="s">
        <v>48</v>
      </c>
    </row>
    <row r="44" customFormat="false" ht="12.8" hidden="false" customHeight="false" outlineLevel="0" collapsed="false">
      <c r="A44" s="1" t="s">
        <v>146</v>
      </c>
      <c r="B44" s="1" t="s">
        <v>54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-0</v>
      </c>
      <c r="G44" s="1" t="s">
        <v>55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0" t="n">
        <v>2.7</v>
      </c>
      <c r="O44" s="0" t="n">
        <v>1991</v>
      </c>
      <c r="P44" s="0" t="n">
        <v>50000</v>
      </c>
      <c r="Q44" s="0" t="n">
        <v>160000</v>
      </c>
      <c r="R44" s="6" t="s">
        <v>56</v>
      </c>
      <c r="S44" s="6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2026-06-26T23:43:49Z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