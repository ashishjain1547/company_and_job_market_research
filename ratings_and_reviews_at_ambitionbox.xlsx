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<sst xmlns="http://schemas.openxmlformats.org/spreadsheetml/2006/main" count="385" uniqueCount="227">
  <si>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</si>
  <si>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</si>
  <si>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</si>
  <si>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</si>
  <si>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</si>
  <si>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</si>
  <si>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</si>
  <si>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</si>
  <si>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</si>
  <si>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</si>
  <si>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</si>
  <si>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</si>
  <si>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</si>
  <si>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</si>
  <si>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</si>
  <si>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</si>
  <si>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</si>
  <si>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</si>
  <si>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</si>
  <si>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</si>
  <si>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HQ</t>
  </si>
  <si>
    <t xml:space="preserve">LinkedIn</t>
  </si>
  <si>
    <t xml:space="preserve">Annual Revenue as of Jun 2026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</si>
  <si>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</si>
  <si>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</si>
  <si>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</si>
  <si>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</si>
  <si>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</si>
  <si>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Berkeley Heights,New Jersey, United States</t>
  </si>
  <si>
    <t xml:space="preserve">https://www.linkedin.com/company/axtria/</t>
  </si>
  <si>
    <t xml:space="preserve"> $275 million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</si>
  <si>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</si>
  <si>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</si>
  <si>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</si>
  <si>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</si>
  <si>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$20.16 billion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</si>
  <si>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</si>
  <si>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</si>
  <si>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</si>
  <si>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</si>
  <si>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$69.67 billion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</si>
  <si>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</si>
  <si>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</si>
  <si>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</si>
  <si>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</si>
  <si>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$21.11 billion</t>
  </si>
  <si>
    <t xml:space="preserve">Nagarro</t>
  </si>
  <si>
    <t xml:space="preserve">https://www.ambitionbox.com/reviews/nagarro-reviews</t>
  </si>
  <si>
    <t xml:space="preserve">https://www.nagarro.com/en/</t>
  </si>
  <si>
    <t xml:space="preserve">Internet</t>
  </si>
  <si>
    <t xml:space="preserve">$1.07 billion</t>
  </si>
  <si>
    <t xml:space="preserve">American Express</t>
  </si>
  <si>
    <t xml:space="preserve">https://www.ambitionbox.com/reviews/american-express-reviews</t>
  </si>
  <si>
    <t xml:space="preserve">https://www.americanexpress.com/en-in/</t>
  </si>
  <si>
    <t xml:space="preserve">Financial Services</t>
  </si>
  <si>
    <t xml:space="preserve">Retail</t>
  </si>
  <si>
    <t xml:space="preserve">$72.2 billion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</si>
  <si>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</si>
  <si>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</si>
  <si>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</si>
  <si>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</si>
  <si>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$465 million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</si>
  <si>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</si>
  <si>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</si>
  <si>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</si>
  <si>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</si>
  <si>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$21.1 billion</t>
  </si>
  <si>
    <t xml:space="preserve">IBM</t>
  </si>
  <si>
    <t xml:space="preserve">https://www.ambitionbox.com/reviews/ibm-reviews</t>
  </si>
  <si>
    <t xml:space="preserve">$67.54 billion</t>
  </si>
  <si>
    <t xml:space="preserve">Jun / 11 / 2026</t>
  </si>
  <si>
    <t xml:space="preserve">ZS</t>
  </si>
  <si>
    <t xml:space="preserve">https://www.ambitionbox.com/reviews/zs-reviews</t>
  </si>
  <si>
    <t xml:space="preserve">https://www.zs.com/</t>
  </si>
  <si>
    <t xml:space="preserve">Management Consulting</t>
  </si>
  <si>
    <t xml:space="preserve">$3.2 billion</t>
  </si>
  <si>
    <t xml:space="preserve">TCS</t>
  </si>
  <si>
    <t xml:space="preserve">https://www.ambitionbox.com/reviews/tcs-reviews</t>
  </si>
  <si>
    <t xml:space="preserve">https://www.tcs.com/</t>
  </si>
  <si>
    <t xml:space="preserve">$30.01 billion</t>
  </si>
  <si>
    <t xml:space="preserve">HCLTech</t>
  </si>
  <si>
    <t xml:space="preserve">https://www.ambitionbox.com/reviews/hcl-technologies-reviews</t>
  </si>
  <si>
    <t xml:space="preserve">https://careers.hcltech.com/go/India/9553955/</t>
  </si>
  <si>
    <t xml:space="preserve">Engineering and R&amp;D Services</t>
  </si>
  <si>
    <t xml:space="preserve">$14.66 billion</t>
  </si>
  <si>
    <t xml:space="preserve">Jun / 12 / 2026</t>
  </si>
  <si>
    <t xml:space="preserve">KPMG India</t>
  </si>
  <si>
    <t xml:space="preserve">https://www.ambitionbox.com/reviews/kpmg-india-reviews</t>
  </si>
  <si>
    <t xml:space="preserve">https://kpmg.com/</t>
  </si>
  <si>
    <t xml:space="preserve">$39.8 billion</t>
  </si>
  <si>
    <t xml:space="preserve">PwC</t>
  </si>
  <si>
    <t xml:space="preserve">https://www.ambitionbox.com/reviews/pwc-reviews</t>
  </si>
  <si>
    <t xml:space="preserve">https://www.pwc.com/gx/en.html</t>
  </si>
  <si>
    <t xml:space="preserve">Accounting &amp; Auditing </t>
  </si>
  <si>
    <t xml:space="preserve">$56.9 billion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</si>
  <si>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</si>
  <si>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</si>
  <si>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</si>
  <si>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</si>
  <si>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$12.402 billion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</si>
  <si>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</si>
  <si>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</si>
  <si>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</si>
  <si>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$5 million </t>
  </si>
  <si>
    <t xml:space="preserve">Genpact</t>
  </si>
  <si>
    <t xml:space="preserve">https://www.ambitionbox.com/reviews/genpact-reviews</t>
  </si>
  <si>
    <t xml:space="preserve">https://www.genpact.com/</t>
  </si>
  <si>
    <t xml:space="preserve">$5.080 billion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</si>
  <si>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</si>
  <si>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</si>
  <si>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</si>
  <si>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</si>
  <si>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$422.50 billion</t>
  </si>
  <si>
    <t xml:space="preserve">Amazon</t>
  </si>
  <si>
    <t xml:space="preserve">https://www.ambitionbox.com/reviews/amazon-reviews</t>
  </si>
  <si>
    <t xml:space="preserve">https://amazon.jobs/en/</t>
  </si>
  <si>
    <t xml:space="preserve">$742.78 billion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</si>
  <si>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</si>
  <si>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</si>
  <si>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</si>
  <si>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</si>
  <si>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$1.37 billion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</si>
  <si>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</si>
  <si>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</si>
  <si>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</si>
  <si>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</si>
  <si>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$40.14 billion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</si>
  <si>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</si>
  <si>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</si>
  <si>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</si>
  <si>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</si>
  <si>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</si>
  <si>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$60 million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</si>
  <si>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</si>
  <si>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</si>
  <si>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</si>
  <si>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</si>
  <si>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$156 million</t>
  </si>
  <si>
    <t xml:space="preserve">Tredence</t>
  </si>
  <si>
    <t xml:space="preserve">https://www.ambitionbox.com/overview/tredence-overview</t>
  </si>
  <si>
    <t xml:space="preserve">https://www.tredence.com/</t>
  </si>
  <si>
    <t xml:space="preserve">$325 million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</si>
  <si>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</si>
  <si>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</si>
  <si>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</si>
  <si>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</si>
  <si>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$22.46 billion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</si>
  <si>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</si>
  <si>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</si>
  <si>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</si>
  <si>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</si>
  <si>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$1.41 billion</t>
  </si>
  <si>
    <t xml:space="preserve">Chegg</t>
  </si>
  <si>
    <t xml:space="preserve">https://www.ambitionbox.com/overview/chegg-overview</t>
  </si>
  <si>
    <t xml:space="preserve">https://www.chegg.com/</t>
  </si>
  <si>
    <t xml:space="preserve">$319 million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</si>
  <si>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</si>
  <si>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</si>
  <si>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</si>
  <si>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$128 million</t>
  </si>
  <si>
    <t xml:space="preserve">Jun / 23 / 2026</t>
  </si>
  <si>
    <t xml:space="preserve">Bounteous x Accolite (Accolite Digital India Pvt. Ltd.)</t>
  </si>
  <si>
    <t xml:space="preserve">https://www.ambitionbox.com/overview/accolite-overview</t>
  </si>
  <si>
    <t xml:space="preserve">https://www.bounteous.com/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</si>
  <si>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</si>
  <si>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</si>
  <si>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</si>
  <si>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$14.4 billion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</si>
  <si>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</si>
  <si>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</si>
  <si>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</si>
  <si>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$15.73 billion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</si>
  <si>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</si>
  <si>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</si>
  <si>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</si>
  <si>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</si>
  <si>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$400 million 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</si>
  <si>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</si>
  <si>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</si>
  <si>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</si>
  <si>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$2.16 billion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</si>
  <si>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</si>
  <si>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</si>
  <si>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</si>
  <si>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</si>
  <si>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$270.6 billion</t>
  </si>
  <si>
    <t xml:space="preserve">Jun / 26 / 2026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</si>
  <si>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</si>
  <si>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</si>
  <si>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</si>
  <si>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Southfield, Michigan, US</t>
  </si>
  <si>
    <t xml:space="preserve">$1.2 billion</t>
  </si>
  <si>
    <t xml:space="preserve">Deeplearning.ai</t>
  </si>
  <si>
    <t xml:space="preserve">-</t>
  </si>
  <si>
    <t xml:space="preserve">https://www.ambitionbox.com/overview/deeplearning-dot-ai-overview</t>
  </si>
  <si>
    <t xml:space="preserve">https://www.deeplearning.ai/</t>
  </si>
  <si>
    <t xml:space="preserve">Mountain View, California, US</t>
  </si>
  <si>
    <t xml:space="preserve">$41.3 million</t>
  </si>
  <si>
    <t xml:space="preserve">Jun / 27 / 2026</t>
  </si>
  <si>
    <t xml:space="preserve">Magic EdTech</t>
  </si>
  <si>
    <t xml:space="preserve">https://www.ambitionbox.com/reviews/magic-edtech-reviews</t>
  </si>
  <si>
    <t xml:space="preserve">https://www.magicedtech.com/</t>
  </si>
  <si>
    <t xml:space="preserve">New York, United States</t>
  </si>
  <si>
    <t xml:space="preserve">$195 million</t>
  </si>
  <si>
    <t xml:space="preserve">The Web Plant</t>
  </si>
  <si>
    <t xml:space="preserve">https://www.ambitionbox.com/overview/the-webplant-overview</t>
  </si>
  <si>
    <t xml:space="preserve">http://thewebplant.com/</t>
  </si>
  <si>
    <t xml:space="preserve">New Delhi, India</t>
  </si>
  <si>
    <t xml:space="preserve">$0.81 million</t>
  </si>
  <si>
    <t xml:space="preserve">Techahead Software</t>
  </si>
  <si>
    <t xml:space="preserve">https://www.ambitionbox.com/overview/techahead-software-overview</t>
  </si>
  <si>
    <t xml:space="preserve">https://www.techaheadcorp.com/</t>
  </si>
  <si>
    <t xml:space="preserve">Noida, Uttar Pradesh, India</t>
  </si>
  <si>
    <t xml:space="preserve">$3.38 million</t>
  </si>
  <si>
    <t xml:space="preserve">Mobileum</t>
  </si>
  <si>
    <t xml:space="preserve">https://www.ambitionbox.com/overview/mobileum-overview</t>
  </si>
  <si>
    <t xml:space="preserve">https://www.mobileum.com/</t>
  </si>
  <si>
    <t xml:space="preserve">Telecom</t>
  </si>
  <si>
    <t xml:space="preserve">Cupertino, California, US</t>
  </si>
  <si>
    <t xml:space="preserve">$378.1 million</t>
  </si>
  <si>
    <t xml:space="preserve">Jun / 28 / 2026</t>
  </si>
  <si>
    <t xml:space="preserve">Virtusa Consulting Services</t>
  </si>
  <si>
    <t xml:space="preserve">https://www.ambitionbox.com/overview/virtusa-consulting-services-overview</t>
  </si>
  <si>
    <t xml:space="preserve">https://www.virtusa.com/</t>
  </si>
  <si>
    <t xml:space="preserve">Southborough, Massachusetts, United States (USA)</t>
  </si>
  <si>
    <t xml:space="preserve">$1.8 billion</t>
  </si>
  <si>
    <t xml:space="preserve">https://www.glassdoor.co.uk/Overview/Working-at-deeplearning-ai-EI_IE2126762.11,26.htm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</si>
</sst>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E2" activePane="bottomLeft" state="frozen"/>
      <selection pane="topLeft" activeCell="A1" activeCellId="0" sqref="A1"/>
      <selection pane="bottomLeft" activeCell="W35" activeCellId="0" sqref="W3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7.15"/>
    <col collapsed="false" customWidth="true" hidden="false" outlineLevel="0" max="2" min="2" style="1" width="24.36"/>
    <col collapsed="false" customWidth="true" hidden="false" outlineLevel="0" max="6" min="6" style="1" width="7.07"/>
    <col collapsed="false" customWidth="true" hidden="false" outlineLevel="0" max="7" min="7" style="0" width="11.95"/>
    <col collapsed="false" customWidth="true" hidden="false" outlineLevel="0" max="15" min="15" style="0" width="6.59"/>
    <col collapsed="false" customWidth="true" hidden="false" outlineLevel="0" max="18" min="18" style="0" width="6.74"/>
    <col collapsed="false" customWidth="true" hidden="false" outlineLevel="0" max="20" min="20" style="0" width="5.82"/>
    <col collapsed="false" customWidth="true" hidden="false" outlineLevel="0" max="21" min="21" style="0" width="5.66"/>
    <col collapsed="false" customWidth="true" hidden="false" outlineLevel="0" max="22" min="22" style="0" width="5.51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customFormat="false" ht="15" hidden="false" customHeight="false" outlineLevel="0" collapsed="false">
      <c r="A2" s="1" t="s">
        <v>23</v>
      </c>
      <c r="B2" s="1" t="s">
        <v>24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-24</v>
      </c>
      <c r="G2" s="1" t="s">
        <v>25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1" t="n">
        <v>2010</v>
      </c>
      <c r="P2" s="1" t="n">
        <v>3600</v>
      </c>
      <c r="Q2" s="1" t="n">
        <v>3600</v>
      </c>
      <c r="R2" s="1" t="s">
        <v>26</v>
      </c>
      <c r="S2" s="1" t="s">
        <v>27</v>
      </c>
      <c r="U2" s="1" t="s">
        <v>28</v>
      </c>
      <c r="V2" s="1" t="s">
        <v>29</v>
      </c>
      <c r="W2" s="1" t="s">
        <v>30</v>
      </c>
    </row>
    <row r="3" customFormat="false" ht="15" hidden="false" customHeight="false" outlineLevel="0" collapsed="false">
      <c r="A3" s="1" t="s">
        <v>23</v>
      </c>
      <c r="B3" s="1" t="s">
        <v>31</v>
      </c>
      <c r="C3" s="1" t="n">
        <v>3.5</v>
      </c>
      <c r="D3" s="1" t="n">
        <v>47300</v>
      </c>
      <c r="E3" s="1" t="n">
        <v>-3</v>
      </c>
      <c r="F3" s="1" t="n">
        <f aca="false">ROUND((C3-AVERAGE(C2:C201))/AVERAGE(C2:C201) * 100,0)</f>
        <v>-5</v>
      </c>
      <c r="G3" s="1" t="s">
        <v>32</v>
      </c>
      <c r="H3" s="1" t="n">
        <v>3.6</v>
      </c>
      <c r="I3" s="1" t="n">
        <v>2.7</v>
      </c>
      <c r="J3" s="1" t="n">
        <v>3.6</v>
      </c>
      <c r="K3" s="1" t="n">
        <v>3.3</v>
      </c>
      <c r="L3" s="1" t="n">
        <v>3.5</v>
      </c>
      <c r="M3" s="1" t="n">
        <v>3.9</v>
      </c>
      <c r="N3" s="1" t="n">
        <v>2.6</v>
      </c>
      <c r="O3" s="1" t="n">
        <v>1981</v>
      </c>
      <c r="P3" s="1" t="n">
        <v>100000</v>
      </c>
      <c r="Q3" s="1" t="n">
        <v>100000</v>
      </c>
      <c r="R3" s="1" t="s">
        <v>33</v>
      </c>
      <c r="S3" s="1" t="s">
        <v>34</v>
      </c>
      <c r="W3" s="1" t="s">
        <v>35</v>
      </c>
    </row>
    <row r="4" customFormat="false" ht="15" hidden="false" customHeight="false" outlineLevel="0" collapsed="false">
      <c r="A4" s="1" t="s">
        <v>23</v>
      </c>
      <c r="B4" s="1" t="s">
        <v>36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0</v>
      </c>
      <c r="G4" s="1" t="s">
        <v>37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1" t="n">
        <v>1989</v>
      </c>
      <c r="P4" s="1" t="n">
        <v>300000</v>
      </c>
      <c r="Q4" s="1" t="n">
        <v>799000</v>
      </c>
      <c r="R4" s="1" t="s">
        <v>38</v>
      </c>
      <c r="S4" s="1" t="s">
        <v>34</v>
      </c>
      <c r="T4" s="1" t="s">
        <v>39</v>
      </c>
      <c r="W4" s="1" t="s">
        <v>40</v>
      </c>
    </row>
    <row r="5" customFormat="false" ht="15" hidden="false" customHeight="false" outlineLevel="0" collapsed="false">
      <c r="A5" s="1" t="s">
        <v>23</v>
      </c>
      <c r="B5" s="1" t="s">
        <v>41</v>
      </c>
      <c r="C5" s="1" t="n">
        <v>3.6</v>
      </c>
      <c r="D5" s="1" t="n">
        <v>59900</v>
      </c>
      <c r="E5" s="1" t="n">
        <v>0</v>
      </c>
      <c r="F5" s="1" t="n">
        <f aca="false">ROUND((C5-AVERAGE(C2:C203))/AVERAGE(C2:C203) * 100,0)</f>
        <v>-3</v>
      </c>
      <c r="G5" s="1" t="s">
        <v>42</v>
      </c>
      <c r="H5" s="1" t="n">
        <v>3.5</v>
      </c>
      <c r="I5" s="1" t="n">
        <v>3.2</v>
      </c>
      <c r="J5" s="1" t="n">
        <v>3.6</v>
      </c>
      <c r="K5" s="1" t="n">
        <v>3.4</v>
      </c>
      <c r="L5" s="1" t="n">
        <v>3.6</v>
      </c>
      <c r="M5" s="1" t="n">
        <v>3.6</v>
      </c>
      <c r="N5" s="1" t="n">
        <v>2.9</v>
      </c>
      <c r="O5" s="1" t="n">
        <v>1994</v>
      </c>
      <c r="P5" s="1" t="n">
        <v>256000</v>
      </c>
      <c r="Q5" s="1" t="n">
        <v>357600</v>
      </c>
      <c r="R5" s="1" t="s">
        <v>43</v>
      </c>
      <c r="S5" s="1" t="s">
        <v>34</v>
      </c>
      <c r="T5" s="1" t="s">
        <v>44</v>
      </c>
      <c r="W5" s="1" t="s">
        <v>45</v>
      </c>
    </row>
    <row r="6" customFormat="false" ht="15" hidden="false" customHeight="false" outlineLevel="0" collapsed="false">
      <c r="A6" s="1" t="s">
        <v>23</v>
      </c>
      <c r="B6" s="1" t="s">
        <v>46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6</v>
      </c>
      <c r="G6" s="1" t="s">
        <v>47</v>
      </c>
      <c r="H6" s="1" t="n">
        <v>3.9</v>
      </c>
      <c r="I6" s="1" t="n">
        <v>3.7</v>
      </c>
      <c r="J6" s="1" t="n">
        <v>3.6</v>
      </c>
      <c r="K6" s="1" t="n">
        <v>3.6</v>
      </c>
      <c r="L6" s="1" t="n">
        <v>3.7</v>
      </c>
      <c r="M6" s="1" t="n">
        <v>3.6</v>
      </c>
      <c r="N6" s="1" t="n">
        <v>3.3</v>
      </c>
      <c r="O6" s="1" t="n">
        <v>1996</v>
      </c>
      <c r="P6" s="1" t="n">
        <v>13000</v>
      </c>
      <c r="Q6" s="1" t="n">
        <v>18500</v>
      </c>
      <c r="R6" s="1" t="s">
        <v>48</v>
      </c>
      <c r="S6" s="1" t="s">
        <v>34</v>
      </c>
      <c r="T6" s="1" t="s">
        <v>49</v>
      </c>
      <c r="W6" s="1" t="s">
        <v>50</v>
      </c>
    </row>
    <row r="7" customFormat="false" ht="15" hidden="false" customHeight="false" outlineLevel="0" collapsed="false">
      <c r="A7" s="1" t="s">
        <v>23</v>
      </c>
      <c r="B7" s="1" t="s">
        <v>51</v>
      </c>
      <c r="C7" s="1" t="n">
        <v>4.1</v>
      </c>
      <c r="D7" s="1" t="n">
        <v>3800</v>
      </c>
      <c r="E7" s="1" t="n">
        <v>11</v>
      </c>
      <c r="F7" s="1" t="n">
        <f aca="false">ROUND((C7-AVERAGE(C2:C205))/AVERAGE(C2:C205) * 100,0)</f>
        <v>11</v>
      </c>
      <c r="G7" s="1" t="s">
        <v>52</v>
      </c>
      <c r="H7" s="1" t="n">
        <v>4.1</v>
      </c>
      <c r="I7" s="1" t="n">
        <v>4</v>
      </c>
      <c r="J7" s="1" t="n">
        <v>4.1</v>
      </c>
      <c r="K7" s="1" t="n">
        <v>3.8</v>
      </c>
      <c r="L7" s="1" t="n">
        <v>3.7</v>
      </c>
      <c r="M7" s="1" t="n">
        <v>4</v>
      </c>
      <c r="N7" s="1" t="n">
        <v>3.3</v>
      </c>
      <c r="O7" s="1" t="n">
        <v>1850</v>
      </c>
      <c r="P7" s="1" t="n">
        <v>15000</v>
      </c>
      <c r="Q7" s="1" t="n">
        <v>76800</v>
      </c>
      <c r="R7" s="1" t="s">
        <v>53</v>
      </c>
      <c r="S7" s="1" t="s">
        <v>54</v>
      </c>
      <c r="T7" s="1" t="s">
        <v>55</v>
      </c>
      <c r="W7" s="1" t="s">
        <v>56</v>
      </c>
    </row>
    <row r="8" customFormat="false" ht="15" hidden="false" customHeight="false" outlineLevel="0" collapsed="false">
      <c r="A8" s="1" t="s">
        <v>57</v>
      </c>
      <c r="B8" s="1" t="s">
        <v>58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11</v>
      </c>
      <c r="G8" s="1" t="s">
        <v>59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1" t="n">
        <v>2004</v>
      </c>
      <c r="P8" s="1" t="n">
        <v>5000</v>
      </c>
      <c r="Q8" s="1" t="n">
        <v>5000</v>
      </c>
      <c r="R8" s="1" t="s">
        <v>60</v>
      </c>
      <c r="S8" s="1" t="s">
        <v>34</v>
      </c>
      <c r="W8" s="1" t="s">
        <v>61</v>
      </c>
    </row>
    <row r="9" customFormat="false" ht="15" hidden="false" customHeight="false" outlineLevel="0" collapsed="false">
      <c r="A9" s="1" t="s">
        <v>62</v>
      </c>
      <c r="B9" s="1" t="s">
        <v>63</v>
      </c>
      <c r="C9" s="1" t="n">
        <v>3.7</v>
      </c>
      <c r="D9" s="1" t="n">
        <v>148</v>
      </c>
      <c r="E9" s="1" t="n">
        <v>0</v>
      </c>
      <c r="F9" s="1" t="n">
        <f aca="false">ROUND((C9-AVERAGE(C2:C207))/AVERAGE(C2:C207) * 100,0)</f>
        <v>0</v>
      </c>
      <c r="G9" s="1" t="s">
        <v>64</v>
      </c>
      <c r="H9" s="1" t="n">
        <v>3.6</v>
      </c>
      <c r="I9" s="1" t="n">
        <v>3.3</v>
      </c>
      <c r="J9" s="1" t="n">
        <v>4</v>
      </c>
      <c r="K9" s="1" t="n">
        <v>3.4</v>
      </c>
      <c r="L9" s="1" t="n">
        <v>3.8</v>
      </c>
      <c r="M9" s="1" t="n">
        <v>3.7</v>
      </c>
      <c r="N9" s="1" t="n">
        <v>2.7</v>
      </c>
      <c r="O9" s="1" t="n">
        <v>1991</v>
      </c>
      <c r="P9" s="1" t="n">
        <v>50000</v>
      </c>
      <c r="Q9" s="1" t="n">
        <v>160000</v>
      </c>
      <c r="R9" s="1" t="s">
        <v>65</v>
      </c>
      <c r="S9" s="1" t="s">
        <v>34</v>
      </c>
      <c r="W9" s="1" t="s">
        <v>66</v>
      </c>
    </row>
    <row r="10" customFormat="false" ht="15" hidden="false" customHeight="false" outlineLevel="0" collapsed="false">
      <c r="A10" s="1" t="s">
        <v>62</v>
      </c>
      <c r="B10" s="1" t="s">
        <v>67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6</v>
      </c>
      <c r="G10" s="1" t="s">
        <v>68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1" t="n">
        <v>1911</v>
      </c>
      <c r="P10" s="1" t="n">
        <v>135000</v>
      </c>
      <c r="Q10" s="1" t="n">
        <v>268000</v>
      </c>
      <c r="R10" s="1" t="s">
        <v>65</v>
      </c>
      <c r="S10" s="1" t="s">
        <v>34</v>
      </c>
      <c r="T10" s="1" t="s">
        <v>54</v>
      </c>
      <c r="W10" s="1" t="s">
        <v>69</v>
      </c>
    </row>
    <row r="11" customFormat="false" ht="15" hidden="false" customHeight="false" outlineLevel="0" collapsed="false">
      <c r="A11" s="1" t="s">
        <v>70</v>
      </c>
      <c r="B11" s="1" t="s">
        <v>71</v>
      </c>
      <c r="C11" s="1" t="n">
        <v>3.1</v>
      </c>
      <c r="D11" s="1" t="n">
        <v>2800</v>
      </c>
      <c r="E11" s="1" t="n">
        <v>-14</v>
      </c>
      <c r="F11" s="1" t="n">
        <f aca="false">ROUND((C11-AVERAGE(C2:C209))/AVERAGE(C2:C209) * 100,0)</f>
        <v>-16</v>
      </c>
      <c r="G11" s="1" t="s">
        <v>72</v>
      </c>
      <c r="H11" s="1" t="n">
        <v>3.1</v>
      </c>
      <c r="I11" s="1" t="n">
        <v>3.6</v>
      </c>
      <c r="J11" s="1" t="n">
        <v>2</v>
      </c>
      <c r="K11" s="1" t="n">
        <v>2.7</v>
      </c>
      <c r="L11" s="1" t="n">
        <v>3.1</v>
      </c>
      <c r="M11" s="1" t="n">
        <v>3.2</v>
      </c>
      <c r="N11" s="1" t="n">
        <v>3</v>
      </c>
      <c r="O11" s="1" t="n">
        <v>1983</v>
      </c>
      <c r="P11" s="1" t="n">
        <v>10400</v>
      </c>
      <c r="Q11" s="1" t="n">
        <v>15000</v>
      </c>
      <c r="R11" s="1" t="s">
        <v>73</v>
      </c>
      <c r="S11" s="1" t="s">
        <v>74</v>
      </c>
      <c r="T11" s="1" t="s">
        <v>34</v>
      </c>
      <c r="W11" s="1" t="s">
        <v>75</v>
      </c>
    </row>
    <row r="12" customFormat="false" ht="15" hidden="false" customHeight="false" outlineLevel="0" collapsed="false">
      <c r="A12" s="1" t="s">
        <v>70</v>
      </c>
      <c r="B12" s="1" t="s">
        <v>76</v>
      </c>
      <c r="C12" s="1" t="n">
        <v>3.3</v>
      </c>
      <c r="D12" s="1" t="n">
        <v>120000</v>
      </c>
      <c r="E12" s="1" t="n">
        <v>-8</v>
      </c>
      <c r="F12" s="1" t="n">
        <f aca="false">ROUND((C12-AVERAGE(C2:C210))/AVERAGE(C2:C210) * 100,0)</f>
        <v>-11</v>
      </c>
      <c r="G12" s="1" t="s">
        <v>77</v>
      </c>
      <c r="H12" s="1" t="n">
        <v>3.2</v>
      </c>
      <c r="I12" s="1" t="n">
        <v>2.4</v>
      </c>
      <c r="J12" s="1" t="n">
        <v>3.5</v>
      </c>
      <c r="K12" s="1" t="n">
        <v>3</v>
      </c>
      <c r="L12" s="1" t="n">
        <v>3.2</v>
      </c>
      <c r="M12" s="1" t="n">
        <v>3.8</v>
      </c>
      <c r="N12" s="1" t="n">
        <v>2.3</v>
      </c>
      <c r="O12" s="1" t="n">
        <v>1968</v>
      </c>
      <c r="P12" s="1" t="n">
        <v>550000</v>
      </c>
      <c r="Q12" s="1" t="n">
        <v>584519</v>
      </c>
      <c r="R12" s="1" t="s">
        <v>78</v>
      </c>
      <c r="S12" s="1" t="s">
        <v>34</v>
      </c>
      <c r="T12" s="1" t="s">
        <v>54</v>
      </c>
      <c r="W12" s="1" t="s">
        <v>79</v>
      </c>
    </row>
    <row r="13" customFormat="false" ht="15" hidden="false" customHeight="false" outlineLevel="0" collapsed="false">
      <c r="A13" s="1" t="s">
        <v>70</v>
      </c>
      <c r="B13" s="1" t="s">
        <v>80</v>
      </c>
      <c r="C13" s="1" t="n">
        <v>3.4</v>
      </c>
      <c r="D13" s="1" t="n">
        <v>46500</v>
      </c>
      <c r="E13" s="1" t="n">
        <v>-6</v>
      </c>
      <c r="F13" s="1" t="n">
        <f aca="false">ROUND((C13-AVERAGE(C2:C211))/AVERAGE(C2:C211) * 100,0)</f>
        <v>-8</v>
      </c>
      <c r="G13" s="1" t="s">
        <v>81</v>
      </c>
      <c r="H13" s="1" t="n">
        <v>3.3</v>
      </c>
      <c r="I13" s="1" t="n">
        <v>2.8</v>
      </c>
      <c r="J13" s="1" t="n">
        <v>3.5</v>
      </c>
      <c r="K13" s="1" t="n">
        <v>3.2</v>
      </c>
      <c r="L13" s="1" t="n">
        <v>3.2</v>
      </c>
      <c r="M13" s="1" t="n">
        <v>3.6</v>
      </c>
      <c r="N13" s="1" t="n">
        <v>2.5</v>
      </c>
      <c r="O13" s="1" t="n">
        <v>1991</v>
      </c>
      <c r="P13" s="1" t="n">
        <v>180000</v>
      </c>
      <c r="Q13" s="1" t="n">
        <v>227181</v>
      </c>
      <c r="R13" s="1" t="s">
        <v>82</v>
      </c>
      <c r="S13" s="1" t="s">
        <v>34</v>
      </c>
      <c r="T13" s="1" t="s">
        <v>83</v>
      </c>
      <c r="W13" s="1" t="s">
        <v>84</v>
      </c>
    </row>
    <row r="14" customFormat="false" ht="15" hidden="false" customHeight="false" outlineLevel="0" collapsed="false">
      <c r="A14" s="1" t="s">
        <v>85</v>
      </c>
      <c r="B14" s="1" t="s">
        <v>86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-8</v>
      </c>
      <c r="G14" s="1" t="s">
        <v>87</v>
      </c>
      <c r="H14" s="1" t="n">
        <v>3.3</v>
      </c>
      <c r="I14" s="1" t="n">
        <v>3.2</v>
      </c>
      <c r="J14" s="1" t="n">
        <v>3.1</v>
      </c>
      <c r="K14" s="1" t="n">
        <v>3.1</v>
      </c>
      <c r="L14" s="1" t="n">
        <v>3.3</v>
      </c>
      <c r="M14" s="1" t="n">
        <v>3.5</v>
      </c>
      <c r="N14" s="1" t="n">
        <v>2.9</v>
      </c>
      <c r="O14" s="1" t="n">
        <v>1993</v>
      </c>
      <c r="P14" s="1" t="n">
        <v>31000</v>
      </c>
      <c r="Q14" s="1" t="n">
        <v>275000</v>
      </c>
      <c r="R14" s="1" t="s">
        <v>88</v>
      </c>
      <c r="S14" s="1" t="s">
        <v>74</v>
      </c>
      <c r="T14" s="1" t="s">
        <v>34</v>
      </c>
      <c r="W14" s="1" t="s">
        <v>89</v>
      </c>
    </row>
    <row r="15" customFormat="false" ht="15" hidden="false" customHeight="false" outlineLevel="0" collapsed="false">
      <c r="A15" s="1" t="s">
        <v>85</v>
      </c>
      <c r="B15" s="1" t="s">
        <v>90</v>
      </c>
      <c r="C15" s="1" t="n">
        <v>3.3</v>
      </c>
      <c r="D15" s="1" t="n">
        <v>12900</v>
      </c>
      <c r="E15" s="1" t="n">
        <v>-8</v>
      </c>
      <c r="F15" s="1" t="n">
        <f aca="false">ROUND((C15-AVERAGE(C2:C214))/AVERAGE(C2:C214) * 100,0)</f>
        <v>-11</v>
      </c>
      <c r="G15" s="1" t="s">
        <v>91</v>
      </c>
      <c r="H15" s="1" t="n">
        <v>3.2</v>
      </c>
      <c r="I15" s="1" t="n">
        <v>3.3</v>
      </c>
      <c r="J15" s="1" t="n">
        <v>3</v>
      </c>
      <c r="K15" s="1" t="n">
        <v>3</v>
      </c>
      <c r="L15" s="1" t="n">
        <v>3.4</v>
      </c>
      <c r="M15" s="1" t="n">
        <v>3.4</v>
      </c>
      <c r="N15" s="1" t="n">
        <v>2.8</v>
      </c>
      <c r="O15" s="1" t="n">
        <v>1880</v>
      </c>
      <c r="P15" s="1" t="n">
        <v>30000</v>
      </c>
      <c r="Q15" s="1" t="n">
        <v>370000</v>
      </c>
      <c r="R15" s="1" t="s">
        <v>92</v>
      </c>
      <c r="S15" s="1" t="s">
        <v>74</v>
      </c>
      <c r="T15" s="1" t="s">
        <v>93</v>
      </c>
      <c r="W15" s="1" t="s">
        <v>94</v>
      </c>
    </row>
    <row r="16" customFormat="false" ht="15" hidden="false" customHeight="false" outlineLevel="0" collapsed="false">
      <c r="A16" s="1" t="s">
        <v>85</v>
      </c>
      <c r="B16" s="1" t="s">
        <v>95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6</v>
      </c>
      <c r="G16" s="1" t="s">
        <v>96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1" t="n">
        <v>1930</v>
      </c>
      <c r="P16" s="1" t="n">
        <v>3600</v>
      </c>
      <c r="Q16" s="1" t="n">
        <v>21000</v>
      </c>
      <c r="R16" s="1" t="s">
        <v>97</v>
      </c>
      <c r="S16" s="1" t="s">
        <v>98</v>
      </c>
      <c r="T16" s="1" t="s">
        <v>49</v>
      </c>
      <c r="W16" s="1" t="s">
        <v>99</v>
      </c>
    </row>
    <row r="17" customFormat="false" ht="15" hidden="false" customHeight="false" outlineLevel="0" collapsed="false">
      <c r="A17" s="1" t="s">
        <v>85</v>
      </c>
      <c r="B17" s="1" t="s">
        <v>100</v>
      </c>
      <c r="C17" s="1" t="n">
        <v>4.7</v>
      </c>
      <c r="D17" s="1" t="n">
        <v>18</v>
      </c>
      <c r="E17" s="1" t="n">
        <v>0</v>
      </c>
      <c r="F17" s="1" t="n">
        <f aca="false">ROUND((C17-AVERAGE(C2:C216))/AVERAGE(C2:C216) * 100,0)</f>
        <v>27</v>
      </c>
      <c r="G17" s="1" t="s">
        <v>101</v>
      </c>
      <c r="H17" s="1" t="n">
        <v>4.7</v>
      </c>
      <c r="I17" s="1" t="n">
        <v>4.4</v>
      </c>
      <c r="J17" s="1" t="n">
        <v>4.7</v>
      </c>
      <c r="K17" s="1" t="n">
        <v>4.5</v>
      </c>
      <c r="L17" s="1" t="n">
        <v>4.4</v>
      </c>
      <c r="M17" s="1" t="n">
        <v>4.6</v>
      </c>
      <c r="N17" s="1" t="n">
        <v>4.2</v>
      </c>
      <c r="O17" s="1" t="n">
        <v>2016</v>
      </c>
      <c r="P17" s="1" t="n">
        <v>140</v>
      </c>
      <c r="Q17" s="1" t="n">
        <v>140</v>
      </c>
      <c r="R17" s="1" t="s">
        <v>102</v>
      </c>
      <c r="S17" s="1" t="s">
        <v>34</v>
      </c>
      <c r="W17" s="1" t="s">
        <v>103</v>
      </c>
    </row>
    <row r="18" customFormat="false" ht="15" hidden="false" customHeight="false" outlineLevel="0" collapsed="false">
      <c r="A18" s="1" t="s">
        <v>85</v>
      </c>
      <c r="B18" s="1" t="s">
        <v>104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-3</v>
      </c>
      <c r="G18" s="1" t="s">
        <v>105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1" t="n">
        <v>1997</v>
      </c>
      <c r="P18" s="1" t="n">
        <v>90000</v>
      </c>
      <c r="Q18" s="1" t="n">
        <v>145000</v>
      </c>
      <c r="R18" s="1" t="s">
        <v>106</v>
      </c>
      <c r="S18" s="1" t="s">
        <v>39</v>
      </c>
      <c r="T18" s="1" t="s">
        <v>54</v>
      </c>
      <c r="W18" s="1" t="s">
        <v>107</v>
      </c>
    </row>
    <row r="19" customFormat="false" ht="15" hidden="false" customHeight="false" outlineLevel="0" collapsed="false">
      <c r="A19" s="1" t="s">
        <v>85</v>
      </c>
      <c r="B19" s="1" t="s">
        <v>108</v>
      </c>
      <c r="C19" s="1" t="n">
        <v>4.4</v>
      </c>
      <c r="D19" s="1" t="n">
        <v>1900</v>
      </c>
      <c r="E19" s="1" t="n">
        <v>22</v>
      </c>
      <c r="F19" s="1" t="n">
        <f aca="false">ROUND((C19-AVERAGE(C2:C218))/AVERAGE(C2:C218) * 100,0)</f>
        <v>19</v>
      </c>
      <c r="G19" s="1" t="s">
        <v>109</v>
      </c>
      <c r="H19" s="1" t="n">
        <v>4.4</v>
      </c>
      <c r="I19" s="1" t="n">
        <v>4.3</v>
      </c>
      <c r="J19" s="1" t="n">
        <v>4.4</v>
      </c>
      <c r="K19" s="1" t="n">
        <v>4.3</v>
      </c>
      <c r="L19" s="1" t="n">
        <v>4.3</v>
      </c>
      <c r="M19" s="1" t="n">
        <v>4.2</v>
      </c>
      <c r="N19" s="1" t="n">
        <v>4.1</v>
      </c>
      <c r="O19" s="1" t="n">
        <v>1998</v>
      </c>
      <c r="P19" s="1" t="n">
        <v>50000</v>
      </c>
      <c r="Q19" s="1" t="n">
        <v>190820</v>
      </c>
      <c r="R19" s="1" t="s">
        <v>110</v>
      </c>
      <c r="S19" s="1" t="s">
        <v>111</v>
      </c>
      <c r="W19" s="1" t="s">
        <v>112</v>
      </c>
    </row>
    <row r="20" customFormat="false" ht="15" hidden="false" customHeight="false" outlineLevel="0" collapsed="false">
      <c r="A20" s="1" t="s">
        <v>85</v>
      </c>
      <c r="B20" s="1" t="s">
        <v>113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6</v>
      </c>
      <c r="G20" s="1" t="s">
        <v>114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1" t="n">
        <v>1994</v>
      </c>
      <c r="P20" s="1" t="n">
        <v>110000</v>
      </c>
      <c r="Q20" s="1" t="n">
        <v>1576000</v>
      </c>
      <c r="R20" s="1" t="s">
        <v>115</v>
      </c>
      <c r="S20" s="1" t="s">
        <v>49</v>
      </c>
      <c r="W20" s="1" t="s">
        <v>116</v>
      </c>
    </row>
    <row r="21" customFormat="false" ht="15" hidden="false" customHeight="false" outlineLevel="0" collapsed="false">
      <c r="A21" s="1" t="s">
        <v>117</v>
      </c>
      <c r="B21" s="1" t="s">
        <v>118</v>
      </c>
      <c r="C21" s="1" t="n">
        <v>3.6</v>
      </c>
      <c r="D21" s="1" t="n">
        <v>19</v>
      </c>
      <c r="E21" s="1" t="n">
        <v>0</v>
      </c>
      <c r="F21" s="1" t="n">
        <f aca="false">ROUND((C21-AVERAGE(C2:C220))/AVERAGE(C2:C220) * 100,0)</f>
        <v>-3</v>
      </c>
      <c r="G21" s="1" t="s">
        <v>119</v>
      </c>
      <c r="H21" s="1" t="n">
        <v>3.9</v>
      </c>
      <c r="I21" s="1" t="n">
        <v>3.8</v>
      </c>
      <c r="J21" s="1" t="n">
        <v>3.8</v>
      </c>
      <c r="K21" s="1" t="n">
        <v>3.4</v>
      </c>
      <c r="L21" s="1" t="n">
        <v>3.1</v>
      </c>
      <c r="M21" s="1" t="n">
        <v>2.7</v>
      </c>
      <c r="N21" s="1" t="n">
        <v>2.6</v>
      </c>
      <c r="O21" s="1" t="n">
        <v>2002</v>
      </c>
      <c r="P21" s="1" t="n">
        <v>150</v>
      </c>
      <c r="Q21" s="1" t="n">
        <v>4800</v>
      </c>
      <c r="R21" s="1" t="s">
        <v>120</v>
      </c>
      <c r="S21" s="1" t="s">
        <v>111</v>
      </c>
      <c r="W21" s="1" t="s">
        <v>121</v>
      </c>
    </row>
    <row r="22" customFormat="false" ht="15" hidden="false" customHeight="false" outlineLevel="0" collapsed="false">
      <c r="A22" s="1" t="s">
        <v>117</v>
      </c>
      <c r="B22" s="1" t="s">
        <v>122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11</v>
      </c>
      <c r="G22" s="1" t="s">
        <v>123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1" t="n">
        <v>1847</v>
      </c>
      <c r="P22" s="1" t="n">
        <v>5000</v>
      </c>
      <c r="Q22" s="1" t="n">
        <v>100000</v>
      </c>
      <c r="R22" s="1" t="s">
        <v>124</v>
      </c>
      <c r="S22" s="1" t="s">
        <v>125</v>
      </c>
      <c r="W22" s="1" t="s">
        <v>126</v>
      </c>
    </row>
    <row r="23" customFormat="false" ht="15" hidden="false" customHeight="false" outlineLevel="0" collapsed="false">
      <c r="A23" s="1" t="s">
        <v>127</v>
      </c>
      <c r="B23" s="1" t="s">
        <v>128</v>
      </c>
      <c r="C23" s="1" t="n">
        <v>3.3</v>
      </c>
      <c r="D23" s="1" t="n">
        <v>108</v>
      </c>
      <c r="E23" s="1" t="n">
        <v>-11</v>
      </c>
      <c r="F23" s="1" t="n">
        <f aca="false">ROUND((C23-AVERAGE(C2:C222))/AVERAGE(C2:C222) * 100,0)</f>
        <v>-11</v>
      </c>
      <c r="G23" s="1" t="s">
        <v>129</v>
      </c>
      <c r="H23" s="1" t="n">
        <v>3.3</v>
      </c>
      <c r="I23" s="1" t="n">
        <v>3</v>
      </c>
      <c r="J23" s="1" t="n">
        <v>3.7</v>
      </c>
      <c r="K23" s="1" t="n">
        <v>3.1</v>
      </c>
      <c r="L23" s="1" t="n">
        <v>3.2</v>
      </c>
      <c r="M23" s="1" t="n">
        <v>3.3</v>
      </c>
      <c r="N23" s="1" t="n">
        <v>2.6</v>
      </c>
      <c r="O23" s="1" t="n">
        <v>1901</v>
      </c>
      <c r="P23" s="1" t="n">
        <v>4000</v>
      </c>
      <c r="Q23" s="1" t="n">
        <v>67000</v>
      </c>
      <c r="R23" s="1" t="s">
        <v>130</v>
      </c>
      <c r="S23" s="1" t="s">
        <v>131</v>
      </c>
      <c r="W23" s="1" t="s">
        <v>132</v>
      </c>
    </row>
    <row r="24" customFormat="false" ht="15" hidden="false" customHeight="false" outlineLevel="0" collapsed="false">
      <c r="A24" s="1" t="s">
        <v>127</v>
      </c>
      <c r="B24" s="1" t="s">
        <v>133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11</v>
      </c>
      <c r="G24" s="1" t="s">
        <v>134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1" t="n">
        <v>2020</v>
      </c>
      <c r="P24" s="1" t="n">
        <v>500</v>
      </c>
      <c r="Q24" s="1" t="n">
        <v>5000</v>
      </c>
      <c r="R24" s="1" t="s">
        <v>135</v>
      </c>
      <c r="S24" s="1" t="s">
        <v>136</v>
      </c>
      <c r="W24" s="1" t="s">
        <v>137</v>
      </c>
    </row>
    <row r="25" customFormat="false" ht="15" hidden="false" customHeight="false" outlineLevel="0" collapsed="false">
      <c r="A25" s="1" t="s">
        <v>127</v>
      </c>
      <c r="B25" s="1" t="s">
        <v>138</v>
      </c>
      <c r="C25" s="1" t="n">
        <v>3.3</v>
      </c>
      <c r="D25" s="1" t="n">
        <v>729</v>
      </c>
      <c r="E25" s="1" t="n">
        <v>-8</v>
      </c>
      <c r="F25" s="1" t="n">
        <f aca="false">ROUND((C25-AVERAGE(C2:C224))/AVERAGE(C2:C224) * 100,0)</f>
        <v>-11</v>
      </c>
      <c r="G25" s="1" t="s">
        <v>139</v>
      </c>
      <c r="H25" s="1" t="n">
        <v>3.4</v>
      </c>
      <c r="I25" s="1" t="n">
        <v>3.2</v>
      </c>
      <c r="J25" s="1" t="n">
        <v>2.9</v>
      </c>
      <c r="K25" s="1" t="n">
        <v>3.1</v>
      </c>
      <c r="L25" s="1" t="n">
        <v>3.6</v>
      </c>
      <c r="M25" s="1" t="n">
        <v>3.4</v>
      </c>
      <c r="N25" s="1" t="n">
        <v>2.8</v>
      </c>
      <c r="O25" s="1" t="n">
        <v>2013</v>
      </c>
      <c r="P25" s="1" t="n">
        <v>5000</v>
      </c>
      <c r="Q25" s="1" t="n">
        <v>5000</v>
      </c>
      <c r="R25" s="1" t="s">
        <v>140</v>
      </c>
      <c r="S25" s="1" t="s">
        <v>34</v>
      </c>
      <c r="W25" s="1" t="s">
        <v>141</v>
      </c>
    </row>
    <row r="26" customFormat="false" ht="15" hidden="false" customHeight="false" outlineLevel="0" collapsed="false">
      <c r="A26" s="1" t="s">
        <v>142</v>
      </c>
      <c r="B26" s="1" t="s">
        <v>143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-3</v>
      </c>
      <c r="G26" s="1" t="s">
        <v>144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1" t="s">
        <v>145</v>
      </c>
      <c r="S26" s="1" t="s">
        <v>34</v>
      </c>
      <c r="W26" s="1" t="s">
        <v>146</v>
      </c>
    </row>
    <row r="27" customFormat="false" ht="15" hidden="false" customHeight="false" outlineLevel="0" collapsed="false">
      <c r="A27" s="1" t="s">
        <v>142</v>
      </c>
      <c r="B27" s="1" t="s">
        <v>147</v>
      </c>
      <c r="C27" s="1" t="n">
        <v>4.6</v>
      </c>
      <c r="D27" s="1" t="n">
        <v>28</v>
      </c>
      <c r="E27" s="1" t="n">
        <v>31</v>
      </c>
      <c r="F27" s="1" t="n">
        <f aca="false">ROUND((C27-AVERAGE(C2:C226))/AVERAGE(C2:C226) * 100,0)</f>
        <v>25</v>
      </c>
      <c r="G27" s="1" t="s">
        <v>148</v>
      </c>
      <c r="H27" s="1" t="n">
        <v>4.6</v>
      </c>
      <c r="I27" s="1" t="n">
        <v>4.3</v>
      </c>
      <c r="J27" s="1" t="n">
        <v>4.6</v>
      </c>
      <c r="K27" s="1" t="n">
        <v>4.5</v>
      </c>
      <c r="L27" s="1" t="n">
        <v>4.3</v>
      </c>
      <c r="M27" s="1" t="n">
        <v>3.9</v>
      </c>
      <c r="N27" s="1" t="n">
        <v>3.8</v>
      </c>
      <c r="O27" s="1" t="n">
        <v>1832</v>
      </c>
      <c r="P27" s="1" t="n">
        <v>1000</v>
      </c>
      <c r="Q27" s="1" t="n">
        <v>4300</v>
      </c>
      <c r="R27" s="1" t="s">
        <v>149</v>
      </c>
      <c r="S27" s="1" t="s">
        <v>150</v>
      </c>
      <c r="W27" s="1" t="s">
        <v>151</v>
      </c>
    </row>
    <row r="28" customFormat="false" ht="15" hidden="false" customHeight="false" outlineLevel="0" collapsed="false">
      <c r="A28" s="1" t="s">
        <v>142</v>
      </c>
      <c r="B28" s="1" t="s">
        <v>152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11</v>
      </c>
      <c r="G28" s="1" t="s">
        <v>153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1" t="n">
        <v>2005</v>
      </c>
      <c r="P28" s="1" t="n">
        <v>1000</v>
      </c>
      <c r="Q28" s="1" t="n">
        <v>5000</v>
      </c>
      <c r="R28" s="1" t="s">
        <v>154</v>
      </c>
      <c r="S28" s="1" t="s">
        <v>150</v>
      </c>
      <c r="W28" s="1" t="s">
        <v>155</v>
      </c>
    </row>
    <row r="29" customFormat="false" ht="15" hidden="false" customHeight="false" outlineLevel="0" collapsed="false">
      <c r="A29" s="1" t="s">
        <v>142</v>
      </c>
      <c r="B29" s="1" t="s">
        <v>156</v>
      </c>
      <c r="C29" s="1" t="n">
        <v>4.5</v>
      </c>
      <c r="D29" s="1" t="n">
        <v>7</v>
      </c>
      <c r="E29" s="1" t="n">
        <v>29</v>
      </c>
      <c r="F29" s="1" t="n">
        <f aca="false">ROUND((C29-AVERAGE(C2:C228))/AVERAGE(C2:C228) * 100,0)</f>
        <v>22</v>
      </c>
      <c r="G29" s="1" t="s">
        <v>157</v>
      </c>
      <c r="H29" s="1" t="n">
        <v>4.5</v>
      </c>
      <c r="I29" s="1" t="n">
        <v>4.3</v>
      </c>
      <c r="J29" s="1" t="n">
        <v>4.8</v>
      </c>
      <c r="K29" s="1" t="n">
        <v>4.5</v>
      </c>
      <c r="L29" s="1" t="n">
        <v>3.4</v>
      </c>
      <c r="M29" s="1" t="n">
        <v>2.2</v>
      </c>
      <c r="N29" s="1" t="n">
        <v>3.4</v>
      </c>
      <c r="O29" s="1" t="n">
        <v>2008</v>
      </c>
      <c r="P29" s="1" t="n">
        <v>50</v>
      </c>
      <c r="Q29" s="1" t="n">
        <v>200</v>
      </c>
      <c r="R29" s="1" t="s">
        <v>158</v>
      </c>
      <c r="S29" s="1" t="s">
        <v>150</v>
      </c>
      <c r="W29" s="1" t="s">
        <v>159</v>
      </c>
    </row>
    <row r="30" customFormat="false" ht="15" hidden="false" customHeight="false" outlineLevel="0" collapsed="false">
      <c r="A30" s="1" t="s">
        <v>160</v>
      </c>
      <c r="B30" s="1" t="s">
        <v>161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-13</v>
      </c>
      <c r="G30" s="1" t="s">
        <v>162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1" t="s">
        <v>163</v>
      </c>
      <c r="S30" s="1" t="s">
        <v>34</v>
      </c>
      <c r="W30" s="1" t="s">
        <v>61</v>
      </c>
    </row>
    <row r="31" customFormat="false" ht="15" hidden="false" customHeight="false" outlineLevel="0" collapsed="false">
      <c r="A31" s="1" t="s">
        <v>160</v>
      </c>
      <c r="B31" s="1" t="s">
        <v>164</v>
      </c>
      <c r="C31" s="1" t="n">
        <v>3.6</v>
      </c>
      <c r="D31" s="1" t="n">
        <v>517</v>
      </c>
      <c r="E31" s="1" t="n">
        <v>0</v>
      </c>
      <c r="F31" s="1" t="n">
        <f aca="false">ROUND((C31-AVERAGE(C2:C230))/AVERAGE(C2:C230) * 100,0)</f>
        <v>-3</v>
      </c>
      <c r="G31" s="1" t="s">
        <v>165</v>
      </c>
      <c r="H31" s="1" t="n">
        <v>3.6</v>
      </c>
      <c r="I31" s="1" t="n">
        <v>3.7</v>
      </c>
      <c r="J31" s="1" t="n">
        <v>3.3</v>
      </c>
      <c r="K31" s="1" t="n">
        <v>3.4</v>
      </c>
      <c r="L31" s="1" t="n">
        <v>3.5</v>
      </c>
      <c r="M31" s="1" t="n">
        <v>3.4</v>
      </c>
      <c r="N31" s="1" t="n">
        <v>2.9</v>
      </c>
      <c r="O31" s="1" t="n">
        <v>1963</v>
      </c>
      <c r="P31" s="1" t="n">
        <v>5000</v>
      </c>
      <c r="Q31" s="1" t="n">
        <v>50000</v>
      </c>
      <c r="R31" s="1" t="s">
        <v>166</v>
      </c>
      <c r="S31" s="1" t="s">
        <v>74</v>
      </c>
      <c r="W31" s="1" t="s">
        <v>167</v>
      </c>
    </row>
    <row r="32" customFormat="false" ht="15" hidden="false" customHeight="false" outlineLevel="0" collapsed="false">
      <c r="A32" s="1" t="s">
        <v>160</v>
      </c>
      <c r="B32" s="1" t="s">
        <v>168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6</v>
      </c>
      <c r="G32" s="1" t="s">
        <v>169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1" t="s">
        <v>170</v>
      </c>
      <c r="S32" s="1" t="s">
        <v>39</v>
      </c>
      <c r="W32" s="1" t="s">
        <v>171</v>
      </c>
    </row>
    <row r="33" customFormat="false" ht="15" hidden="false" customHeight="false" outlineLevel="0" collapsed="false">
      <c r="A33" s="1" t="s">
        <v>160</v>
      </c>
      <c r="B33" s="1" t="s">
        <v>172</v>
      </c>
      <c r="C33" s="1" t="n">
        <v>3.6</v>
      </c>
      <c r="D33" s="1" t="n">
        <v>399</v>
      </c>
      <c r="E33" s="1" t="n">
        <v>0</v>
      </c>
      <c r="F33" s="1" t="n">
        <f aca="false">ROUND((C33-AVERAGE(C2:C232))/AVERAGE(C2:C232) * 100,0)</f>
        <v>-3</v>
      </c>
      <c r="G33" s="1" t="s">
        <v>173</v>
      </c>
      <c r="H33" s="1" t="n">
        <v>3.3</v>
      </c>
      <c r="I33" s="1" t="n">
        <v>3.6</v>
      </c>
      <c r="J33" s="1" t="n">
        <v>3.5</v>
      </c>
      <c r="K33" s="1" t="n">
        <v>3.2</v>
      </c>
      <c r="L33" s="1" t="n">
        <v>3.3</v>
      </c>
      <c r="M33" s="1" t="n">
        <v>3.3</v>
      </c>
      <c r="N33" s="1" t="n">
        <v>3.1</v>
      </c>
      <c r="O33" s="1" t="n">
        <v>1999</v>
      </c>
      <c r="P33" s="1" t="n">
        <v>5000</v>
      </c>
      <c r="Q33" s="1" t="n">
        <v>5000</v>
      </c>
      <c r="R33" s="1" t="s">
        <v>174</v>
      </c>
      <c r="S33" s="1" t="s">
        <v>175</v>
      </c>
      <c r="W33" s="1" t="s">
        <v>176</v>
      </c>
    </row>
    <row r="34" customFormat="false" ht="15" hidden="false" customHeight="false" outlineLevel="0" collapsed="false">
      <c r="A34" s="1" t="s">
        <v>160</v>
      </c>
      <c r="B34" s="1" t="s">
        <v>177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-3</v>
      </c>
      <c r="G34" s="1" t="s">
        <v>178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1" t="s">
        <v>179</v>
      </c>
      <c r="S34" s="1" t="s">
        <v>34</v>
      </c>
      <c r="W34" s="1" t="s">
        <v>180</v>
      </c>
    </row>
    <row r="35" customFormat="false" ht="15" hidden="false" customHeight="false" outlineLevel="0" collapsed="false">
      <c r="A35" s="1" t="s">
        <v>181</v>
      </c>
      <c r="B35" s="1" t="s">
        <v>182</v>
      </c>
      <c r="C35" s="1" t="n">
        <v>4</v>
      </c>
      <c r="D35" s="1" t="n">
        <v>8100</v>
      </c>
      <c r="E35" s="1" t="n">
        <v>11</v>
      </c>
      <c r="F35" s="1" t="n">
        <f aca="false">ROUND((C35-AVERAGE(C2:C234))/AVERAGE(C2:C234) * 100,0)</f>
        <v>8</v>
      </c>
      <c r="G35" s="1" t="s">
        <v>183</v>
      </c>
      <c r="H35" s="1" t="n">
        <v>4</v>
      </c>
      <c r="I35" s="1" t="n">
        <v>3.5</v>
      </c>
      <c r="J35" s="1" t="n">
        <v>4.1</v>
      </c>
      <c r="K35" s="1" t="n">
        <v>3.8</v>
      </c>
      <c r="L35" s="1" t="n">
        <v>3.7</v>
      </c>
      <c r="M35" s="1" t="n">
        <v>4.2</v>
      </c>
      <c r="N35" s="1" t="n">
        <v>3.1</v>
      </c>
      <c r="O35" s="1" t="n">
        <v>2002</v>
      </c>
      <c r="P35" s="1" t="n">
        <v>50000</v>
      </c>
      <c r="Q35" s="1" t="n">
        <v>100000</v>
      </c>
      <c r="R35" s="1" t="s">
        <v>184</v>
      </c>
      <c r="S35" s="1" t="s">
        <v>34</v>
      </c>
      <c r="W35" s="1" t="s">
        <v>185</v>
      </c>
    </row>
    <row r="36" customFormat="false" ht="15" hidden="false" customHeight="false" outlineLevel="0" collapsed="false">
      <c r="A36" s="1" t="s">
        <v>186</v>
      </c>
      <c r="B36" s="1" t="s">
        <v>58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8</v>
      </c>
      <c r="G36" s="1" t="s">
        <v>59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1" t="n">
        <v>2004</v>
      </c>
      <c r="P36" s="1" t="n">
        <v>5000</v>
      </c>
      <c r="Q36" s="1" t="n">
        <v>5000</v>
      </c>
      <c r="R36" s="1" t="s">
        <v>60</v>
      </c>
      <c r="S36" s="1" t="s">
        <v>34</v>
      </c>
      <c r="W36" s="1" t="s">
        <v>61</v>
      </c>
    </row>
    <row r="37" customFormat="false" ht="15" hidden="false" customHeight="false" outlineLevel="0" collapsed="false">
      <c r="A37" s="1" t="s">
        <v>186</v>
      </c>
      <c r="B37" s="1" t="s">
        <v>24</v>
      </c>
      <c r="C37" s="1" t="n">
        <v>2.7</v>
      </c>
      <c r="D37" s="1" t="n">
        <v>802</v>
      </c>
      <c r="E37" s="1" t="n">
        <v>-25</v>
      </c>
      <c r="F37" s="1" t="n">
        <f aca="false">ROUND((C37-AVERAGE(C2:C235))/AVERAGE(C2:C235) * 100,0)</f>
        <v>-27</v>
      </c>
      <c r="G37" s="1" t="s">
        <v>25</v>
      </c>
      <c r="H37" s="1" t="n">
        <v>2.6</v>
      </c>
      <c r="I37" s="1" t="n">
        <v>2.9</v>
      </c>
      <c r="J37" s="1" t="n">
        <v>2.6</v>
      </c>
      <c r="K37" s="1" t="n">
        <v>2.5</v>
      </c>
      <c r="L37" s="1" t="n">
        <v>2.7</v>
      </c>
      <c r="M37" s="1" t="n">
        <v>2.9</v>
      </c>
      <c r="N37" s="1" t="n">
        <v>2.6</v>
      </c>
      <c r="O37" s="1" t="n">
        <v>2010</v>
      </c>
      <c r="P37" s="1" t="n">
        <v>3600</v>
      </c>
      <c r="Q37" s="1" t="n">
        <v>3600</v>
      </c>
      <c r="R37" s="1" t="s">
        <v>26</v>
      </c>
      <c r="S37" s="1" t="s">
        <v>27</v>
      </c>
      <c r="U37" s="1" t="s">
        <v>28</v>
      </c>
      <c r="V37" s="1" t="s">
        <v>29</v>
      </c>
      <c r="W37" s="1" t="s">
        <v>30</v>
      </c>
    </row>
    <row r="38" customFormat="false" ht="15" hidden="false" customHeight="false" outlineLevel="0" collapsed="false">
      <c r="A38" s="1" t="s">
        <v>186</v>
      </c>
      <c r="B38" s="1" t="s">
        <v>31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-5</v>
      </c>
      <c r="G38" s="1" t="s">
        <v>32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1" t="n">
        <v>1981</v>
      </c>
      <c r="P38" s="1" t="n">
        <v>100000</v>
      </c>
      <c r="Q38" s="1" t="n">
        <v>100000</v>
      </c>
      <c r="R38" s="1" t="s">
        <v>33</v>
      </c>
      <c r="S38" s="1" t="s">
        <v>34</v>
      </c>
      <c r="W38" s="1" t="s">
        <v>35</v>
      </c>
    </row>
    <row r="39" customFormat="false" ht="15" hidden="false" customHeight="false" outlineLevel="0" collapsed="false">
      <c r="A39" s="1" t="s">
        <v>186</v>
      </c>
      <c r="B39" s="1" t="s">
        <v>187</v>
      </c>
      <c r="C39" s="1" t="n">
        <v>3.5</v>
      </c>
      <c r="D39" s="1" t="n">
        <v>1500</v>
      </c>
      <c r="E39" s="1" t="n">
        <v>-3</v>
      </c>
      <c r="F39" s="1" t="n">
        <f aca="false">ROUND((C39-AVERAGE(C2:C237))/AVERAGE(C2:C237) * 100,0)</f>
        <v>-5</v>
      </c>
      <c r="G39" s="1" t="s">
        <v>188</v>
      </c>
      <c r="H39" s="1" t="n">
        <v>3.5</v>
      </c>
      <c r="I39" s="1" t="n">
        <v>3.7</v>
      </c>
      <c r="J39" s="1" t="n">
        <v>3.6</v>
      </c>
      <c r="K39" s="1" t="n">
        <v>3.3</v>
      </c>
      <c r="L39" s="1" t="n">
        <v>3.5</v>
      </c>
      <c r="M39" s="1" t="n">
        <v>3</v>
      </c>
      <c r="N39" s="1" t="n">
        <v>3</v>
      </c>
      <c r="O39" s="1" t="n">
        <v>2012</v>
      </c>
      <c r="P39" s="1" t="n">
        <v>5000</v>
      </c>
      <c r="Q39" s="1" t="n">
        <v>10000</v>
      </c>
      <c r="R39" s="1" t="s">
        <v>189</v>
      </c>
      <c r="S39" s="1" t="s">
        <v>34</v>
      </c>
      <c r="U39" s="3" t="s">
        <v>190</v>
      </c>
      <c r="W39" s="1" t="s">
        <v>191</v>
      </c>
    </row>
    <row r="40" customFormat="false" ht="15" hidden="false" customHeight="false" outlineLevel="0" collapsed="false">
      <c r="A40" s="1" t="s">
        <v>186</v>
      </c>
      <c r="B40" s="1" t="s">
        <v>192</v>
      </c>
      <c r="C40" s="1" t="s">
        <v>193</v>
      </c>
      <c r="D40" s="1" t="s">
        <v>193</v>
      </c>
      <c r="E40" s="1" t="s">
        <v>193</v>
      </c>
      <c r="F40" s="1" t="s">
        <v>193</v>
      </c>
      <c r="G40" s="1" t="s">
        <v>194</v>
      </c>
      <c r="H40" s="1" t="s">
        <v>193</v>
      </c>
      <c r="I40" s="1" t="s">
        <v>193</v>
      </c>
      <c r="J40" s="1" t="s">
        <v>193</v>
      </c>
      <c r="K40" s="1" t="s">
        <v>193</v>
      </c>
      <c r="L40" s="1" t="s">
        <v>193</v>
      </c>
      <c r="M40" s="1" t="s">
        <v>193</v>
      </c>
      <c r="N40" s="1" t="s">
        <v>193</v>
      </c>
      <c r="O40" s="1" t="n">
        <v>2017</v>
      </c>
      <c r="P40" s="1" t="s">
        <v>193</v>
      </c>
      <c r="Q40" s="1" t="n">
        <v>50</v>
      </c>
      <c r="R40" s="1" t="s">
        <v>195</v>
      </c>
      <c r="S40" s="1" t="s">
        <v>150</v>
      </c>
      <c r="U40" s="3" t="s">
        <v>196</v>
      </c>
      <c r="W40" s="1" t="s">
        <v>197</v>
      </c>
    </row>
    <row r="41" customFormat="false" ht="15" hidden="false" customHeight="false" outlineLevel="0" collapsed="false">
      <c r="A41" s="1" t="s">
        <v>186</v>
      </c>
      <c r="B41" s="1" t="s">
        <v>36</v>
      </c>
      <c r="C41" s="1" t="n">
        <v>3.7</v>
      </c>
      <c r="D41" s="1" t="n">
        <v>74800</v>
      </c>
      <c r="E41" s="1" t="n">
        <v>3</v>
      </c>
      <c r="F41" s="1" t="n">
        <f aca="false">ROUND((C41-AVERAGE(C2:C239))/AVERAGE(C2:C239) * 100,0)</f>
        <v>0</v>
      </c>
      <c r="G41" s="1" t="s">
        <v>37</v>
      </c>
      <c r="H41" s="1" t="n">
        <v>3.7</v>
      </c>
      <c r="I41" s="1" t="n">
        <v>3.2</v>
      </c>
      <c r="J41" s="1" t="n">
        <v>3.6</v>
      </c>
      <c r="K41" s="1" t="n">
        <v>3.4</v>
      </c>
      <c r="L41" s="1" t="n">
        <v>3.6</v>
      </c>
      <c r="M41" s="1" t="n">
        <v>3.6</v>
      </c>
      <c r="N41" s="1" t="n">
        <v>2.8</v>
      </c>
      <c r="O41" s="1" t="n">
        <v>1989</v>
      </c>
      <c r="P41" s="1" t="n">
        <v>300000</v>
      </c>
      <c r="Q41" s="1" t="n">
        <v>799000</v>
      </c>
      <c r="R41" s="1" t="s">
        <v>38</v>
      </c>
      <c r="S41" s="1" t="s">
        <v>34</v>
      </c>
      <c r="T41" s="1" t="s">
        <v>39</v>
      </c>
      <c r="W41" s="1" t="s">
        <v>40</v>
      </c>
    </row>
    <row r="42" customFormat="false" ht="15" hidden="false" customHeight="false" outlineLevel="0" collapsed="false">
      <c r="A42" s="1" t="s">
        <v>186</v>
      </c>
      <c r="B42" s="1" t="s">
        <v>41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0</v>
      </c>
      <c r="G42" s="1" t="s">
        <v>42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1" t="n">
        <v>2.9</v>
      </c>
      <c r="O42" s="1" t="n">
        <v>1994</v>
      </c>
      <c r="P42" s="1" t="n">
        <v>256000</v>
      </c>
      <c r="Q42" s="1" t="n">
        <v>357600</v>
      </c>
      <c r="R42" s="1" t="s">
        <v>43</v>
      </c>
      <c r="S42" s="1" t="s">
        <v>34</v>
      </c>
      <c r="T42" s="1" t="s">
        <v>44</v>
      </c>
      <c r="W42" s="1" t="s">
        <v>45</v>
      </c>
    </row>
    <row r="43" customFormat="false" ht="15" hidden="false" customHeight="false" outlineLevel="0" collapsed="false">
      <c r="A43" s="1" t="s">
        <v>186</v>
      </c>
      <c r="B43" s="1" t="s">
        <v>67</v>
      </c>
      <c r="C43" s="1" t="n">
        <v>3.9</v>
      </c>
      <c r="D43" s="1" t="n">
        <v>26100</v>
      </c>
      <c r="E43" s="1" t="n">
        <v>8</v>
      </c>
      <c r="F43" s="1" t="n">
        <f aca="false">ROUND((C43-AVERAGE(C2:C241))/AVERAGE(C2:C241) * 100,0)</f>
        <v>6</v>
      </c>
      <c r="G43" s="1" t="s">
        <v>68</v>
      </c>
      <c r="H43" s="1" t="n">
        <v>3.9</v>
      </c>
      <c r="I43" s="1" t="n">
        <v>3.5</v>
      </c>
      <c r="J43" s="1" t="n">
        <v>4</v>
      </c>
      <c r="K43" s="1" t="n">
        <v>3.6</v>
      </c>
      <c r="L43" s="1" t="n">
        <v>3.9</v>
      </c>
      <c r="M43" s="1" t="n">
        <v>3.9</v>
      </c>
      <c r="N43" s="1" t="n">
        <v>3</v>
      </c>
      <c r="O43" s="1" t="n">
        <v>1911</v>
      </c>
      <c r="P43" s="1" t="n">
        <v>135000</v>
      </c>
      <c r="Q43" s="1" t="n">
        <v>268000</v>
      </c>
      <c r="R43" s="1" t="s">
        <v>65</v>
      </c>
      <c r="S43" s="1" t="s">
        <v>34</v>
      </c>
      <c r="T43" s="1" t="s">
        <v>54</v>
      </c>
      <c r="W43" s="1" t="s">
        <v>69</v>
      </c>
    </row>
    <row r="44" customFormat="false" ht="15" hidden="false" customHeight="false" outlineLevel="0" collapsed="false">
      <c r="A44" s="1" t="s">
        <v>186</v>
      </c>
      <c r="B44" s="1" t="s">
        <v>63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0</v>
      </c>
      <c r="G44" s="1" t="s">
        <v>64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1" t="n">
        <v>2.7</v>
      </c>
      <c r="O44" s="1" t="n">
        <v>1991</v>
      </c>
      <c r="P44" s="1" t="n">
        <v>50000</v>
      </c>
      <c r="Q44" s="1" t="n">
        <v>160000</v>
      </c>
      <c r="R44" s="1" t="s">
        <v>65</v>
      </c>
      <c r="S44" s="1" t="s">
        <v>34</v>
      </c>
      <c r="W44" s="1" t="s">
        <v>66</v>
      </c>
    </row>
    <row r="45" customFormat="false" ht="15" hidden="false" customHeight="false" outlineLevel="0" collapsed="false">
      <c r="A45" s="1" t="s">
        <v>198</v>
      </c>
      <c r="B45" s="1" t="s">
        <v>46</v>
      </c>
      <c r="C45" s="1" t="n">
        <v>3.9</v>
      </c>
      <c r="D45" s="1" t="n">
        <v>4800</v>
      </c>
      <c r="E45" s="1" t="n">
        <v>8</v>
      </c>
      <c r="F45" s="1" t="n">
        <f aca="false">ROUND((C45-AVERAGE(C41:C243))/AVERAGE(C41:C243) * 100,0)</f>
        <v>7</v>
      </c>
      <c r="G45" s="1" t="s">
        <v>47</v>
      </c>
      <c r="H45" s="1" t="n">
        <v>3.9</v>
      </c>
      <c r="I45" s="1" t="n">
        <v>3.7</v>
      </c>
      <c r="J45" s="1" t="n">
        <v>3.6</v>
      </c>
      <c r="K45" s="1" t="n">
        <v>3.6</v>
      </c>
      <c r="L45" s="1" t="n">
        <v>3.7</v>
      </c>
      <c r="M45" s="1" t="n">
        <v>3.6</v>
      </c>
      <c r="N45" s="1" t="n">
        <v>3.3</v>
      </c>
      <c r="O45" s="1" t="n">
        <v>1996</v>
      </c>
      <c r="P45" s="1" t="n">
        <v>13000</v>
      </c>
      <c r="Q45" s="1" t="n">
        <v>18500</v>
      </c>
      <c r="R45" s="1" t="s">
        <v>48</v>
      </c>
      <c r="S45" s="1" t="s">
        <v>34</v>
      </c>
      <c r="T45" s="1" t="s">
        <v>49</v>
      </c>
      <c r="W45" s="1" t="s">
        <v>50</v>
      </c>
    </row>
    <row r="46" customFormat="false" ht="15" hidden="false" customHeight="false" outlineLevel="0" collapsed="false">
      <c r="A46" s="1" t="s">
        <v>198</v>
      </c>
      <c r="B46" s="1" t="s">
        <v>51</v>
      </c>
      <c r="C46" s="1" t="n">
        <v>4.1</v>
      </c>
      <c r="D46" s="1" t="n">
        <v>3900</v>
      </c>
      <c r="E46" s="1" t="n">
        <v>11</v>
      </c>
      <c r="F46" s="1" t="n">
        <f aca="false">ROUND((C46-AVERAGE(C2:C244))/AVERAGE(C2:C244) * 100,0)</f>
        <v>11</v>
      </c>
      <c r="G46" s="1" t="s">
        <v>52</v>
      </c>
      <c r="H46" s="1" t="n">
        <v>4.1</v>
      </c>
      <c r="I46" s="1" t="n">
        <v>4</v>
      </c>
      <c r="J46" s="1" t="n">
        <v>4.1</v>
      </c>
      <c r="K46" s="1" t="n">
        <v>3.8</v>
      </c>
      <c r="L46" s="1" t="n">
        <v>3.7</v>
      </c>
      <c r="M46" s="1" t="n">
        <v>4</v>
      </c>
      <c r="N46" s="1" t="n">
        <v>3.3</v>
      </c>
      <c r="O46" s="1" t="n">
        <v>1850</v>
      </c>
      <c r="P46" s="1" t="n">
        <v>15000</v>
      </c>
      <c r="Q46" s="1" t="n">
        <v>76800</v>
      </c>
      <c r="R46" s="1" t="s">
        <v>53</v>
      </c>
      <c r="S46" s="1" t="s">
        <v>54</v>
      </c>
      <c r="T46" s="1" t="s">
        <v>55</v>
      </c>
      <c r="W46" s="1" t="s">
        <v>56</v>
      </c>
    </row>
    <row r="47" customFormat="false" ht="15" hidden="false" customHeight="false" outlineLevel="0" collapsed="false">
      <c r="A47" s="1" t="s">
        <v>198</v>
      </c>
      <c r="B47" s="1" t="s">
        <v>71</v>
      </c>
      <c r="C47" s="1" t="n">
        <v>3</v>
      </c>
      <c r="D47" s="1" t="n">
        <v>2800</v>
      </c>
      <c r="E47" s="1" t="n">
        <v>-17</v>
      </c>
      <c r="F47" s="1" t="n">
        <f aca="false">ROUND((C47-AVERAGE(C2:C245))/AVERAGE(C2:C245) * 100,0)</f>
        <v>-19</v>
      </c>
      <c r="G47" s="1" t="s">
        <v>72</v>
      </c>
      <c r="H47" s="1" t="n">
        <v>3.1</v>
      </c>
      <c r="I47" s="1" t="n">
        <v>3.6</v>
      </c>
      <c r="J47" s="1" t="n">
        <v>2</v>
      </c>
      <c r="K47" s="1" t="n">
        <v>2.7</v>
      </c>
      <c r="L47" s="1" t="n">
        <v>3.1</v>
      </c>
      <c r="M47" s="1" t="n">
        <v>3.2</v>
      </c>
      <c r="N47" s="1" t="n">
        <v>3</v>
      </c>
      <c r="O47" s="1" t="n">
        <v>1983</v>
      </c>
      <c r="P47" s="1" t="n">
        <v>10400</v>
      </c>
      <c r="Q47" s="1" t="n">
        <v>15000</v>
      </c>
      <c r="R47" s="1" t="s">
        <v>73</v>
      </c>
      <c r="S47" s="1" t="s">
        <v>74</v>
      </c>
      <c r="T47" s="1" t="s">
        <v>34</v>
      </c>
      <c r="W47" s="1" t="s">
        <v>75</v>
      </c>
    </row>
    <row r="48" customFormat="false" ht="15" hidden="false" customHeight="false" outlineLevel="0" collapsed="false">
      <c r="A48" s="1" t="s">
        <v>198</v>
      </c>
      <c r="B48" s="1" t="s">
        <v>199</v>
      </c>
      <c r="C48" s="1" t="n">
        <v>3.5</v>
      </c>
      <c r="D48" s="1" t="n">
        <v>694</v>
      </c>
      <c r="E48" s="1" t="n">
        <v>0</v>
      </c>
      <c r="F48" s="1" t="n">
        <f aca="false">ROUND((C48-AVERAGE(C2:C246))/AVERAGE(C2:C246) * 100,0)</f>
        <v>-5</v>
      </c>
      <c r="G48" s="1" t="s">
        <v>200</v>
      </c>
      <c r="H48" s="1" t="n">
        <v>3.6</v>
      </c>
      <c r="I48" s="1" t="n">
        <v>3.2</v>
      </c>
      <c r="J48" s="1" t="n">
        <v>3.6</v>
      </c>
      <c r="K48" s="1" t="n">
        <v>3.4</v>
      </c>
      <c r="L48" s="1" t="n">
        <v>3.3</v>
      </c>
      <c r="M48" s="1" t="n">
        <v>3.3</v>
      </c>
      <c r="N48" s="1" t="n">
        <v>3.1</v>
      </c>
      <c r="O48" s="1" t="n">
        <v>1989</v>
      </c>
      <c r="P48" s="1" t="n">
        <v>950</v>
      </c>
      <c r="Q48" s="1" t="n">
        <v>1300</v>
      </c>
      <c r="R48" s="1" t="s">
        <v>201</v>
      </c>
      <c r="S48" s="1" t="s">
        <v>150</v>
      </c>
      <c r="U48" s="1" t="s">
        <v>202</v>
      </c>
      <c r="W48" s="3" t="s">
        <v>203</v>
      </c>
    </row>
    <row r="49" customFormat="false" ht="15" hidden="false" customHeight="false" outlineLevel="0" collapsed="false">
      <c r="A49" s="1" t="s">
        <v>198</v>
      </c>
      <c r="B49" s="1" t="s">
        <v>204</v>
      </c>
      <c r="C49" s="1" t="n">
        <v>2.8</v>
      </c>
      <c r="D49" s="1" t="n">
        <v>119</v>
      </c>
      <c r="E49" s="1" t="n">
        <v>-22</v>
      </c>
      <c r="F49" s="1" t="n">
        <f aca="false">ROUND((C49-AVERAGE(C2:C247))/AVERAGE(C2:C247) * 100,0)</f>
        <v>-24</v>
      </c>
      <c r="G49" s="1" t="s">
        <v>205</v>
      </c>
      <c r="H49" s="1" t="n">
        <v>2.8</v>
      </c>
      <c r="I49" s="1" t="n">
        <v>2.6</v>
      </c>
      <c r="J49" s="1" t="n">
        <v>2.7</v>
      </c>
      <c r="K49" s="1" t="n">
        <v>2.7</v>
      </c>
      <c r="L49" s="1" t="n">
        <v>2.7</v>
      </c>
      <c r="M49" s="1" t="n">
        <v>2.7</v>
      </c>
      <c r="N49" s="1" t="n">
        <v>2.6</v>
      </c>
      <c r="O49" s="1" t="n">
        <v>2011</v>
      </c>
      <c r="P49" s="1" t="n">
        <v>150</v>
      </c>
      <c r="Q49" s="1" t="n">
        <v>150</v>
      </c>
      <c r="R49" s="1" t="s">
        <v>206</v>
      </c>
      <c r="S49" s="1" t="s">
        <v>34</v>
      </c>
      <c r="U49" s="1" t="s">
        <v>207</v>
      </c>
      <c r="W49" s="3" t="s">
        <v>208</v>
      </c>
    </row>
    <row r="50" customFormat="false" ht="15" hidden="false" customHeight="false" outlineLevel="0" collapsed="false">
      <c r="A50" s="1" t="s">
        <v>198</v>
      </c>
      <c r="B50" s="1" t="s">
        <v>209</v>
      </c>
      <c r="C50" s="1" t="n">
        <v>3.8</v>
      </c>
      <c r="D50" s="1" t="n">
        <v>223</v>
      </c>
      <c r="E50" s="1" t="n">
        <v>6</v>
      </c>
      <c r="F50" s="1" t="n">
        <f aca="false">ROUND((C50-AVERAGE(C2:C248))/AVERAGE(C2:C248) * 100,0)</f>
        <v>3</v>
      </c>
      <c r="G50" s="1" t="s">
        <v>210</v>
      </c>
      <c r="H50" s="1" t="n">
        <v>3.8</v>
      </c>
      <c r="I50" s="1" t="n">
        <v>3.7</v>
      </c>
      <c r="J50" s="1" t="n">
        <v>3.6</v>
      </c>
      <c r="K50" s="1" t="n">
        <v>3.7</v>
      </c>
      <c r="L50" s="1" t="n">
        <v>4</v>
      </c>
      <c r="M50" s="1" t="n">
        <v>3.3</v>
      </c>
      <c r="N50" s="1" t="n">
        <v>3.5</v>
      </c>
      <c r="O50" s="1" t="n">
        <v>2009</v>
      </c>
      <c r="P50" s="1" t="n">
        <v>250</v>
      </c>
      <c r="Q50" s="1" t="n">
        <v>250</v>
      </c>
      <c r="R50" s="1" t="s">
        <v>211</v>
      </c>
      <c r="S50" s="1" t="s">
        <v>34</v>
      </c>
      <c r="T50" s="1" t="s">
        <v>111</v>
      </c>
      <c r="U50" s="1" t="s">
        <v>212</v>
      </c>
      <c r="W50" s="3" t="s">
        <v>213</v>
      </c>
    </row>
    <row r="51" customFormat="false" ht="15" hidden="false" customHeight="false" outlineLevel="0" collapsed="false">
      <c r="A51" s="1" t="s">
        <v>198</v>
      </c>
      <c r="B51" s="1" t="s">
        <v>214</v>
      </c>
      <c r="C51" s="1" t="n">
        <v>3.2</v>
      </c>
      <c r="D51" s="1" t="n">
        <v>386</v>
      </c>
      <c r="E51" s="1" t="n">
        <v>-11</v>
      </c>
      <c r="F51" s="1" t="n">
        <f aca="false">ROUND((C51-AVERAGE(C2:C249))/AVERAGE(C2:C249) * 100,0)</f>
        <v>-13</v>
      </c>
      <c r="G51" s="1" t="s">
        <v>215</v>
      </c>
      <c r="H51" s="1" t="n">
        <v>3</v>
      </c>
      <c r="I51" s="1" t="n">
        <v>3.2</v>
      </c>
      <c r="J51" s="1" t="n">
        <v>3.1</v>
      </c>
      <c r="K51" s="1" t="n">
        <v>2.9</v>
      </c>
      <c r="L51" s="1" t="n">
        <v>2.8</v>
      </c>
      <c r="M51" s="1" t="n">
        <v>3</v>
      </c>
      <c r="N51" s="1" t="n">
        <v>2.6</v>
      </c>
      <c r="O51" s="1" t="n">
        <v>2000</v>
      </c>
      <c r="P51" s="1" t="n">
        <v>1000</v>
      </c>
      <c r="Q51" s="1" t="n">
        <v>2200</v>
      </c>
      <c r="R51" s="1" t="s">
        <v>216</v>
      </c>
      <c r="S51" s="1" t="s">
        <v>111</v>
      </c>
      <c r="T51" s="1" t="s">
        <v>217</v>
      </c>
      <c r="U51" s="1" t="s">
        <v>218</v>
      </c>
      <c r="W51" s="3" t="s">
        <v>219</v>
      </c>
    </row>
    <row r="52" customFormat="false" ht="15" hidden="false" customHeight="false" outlineLevel="0" collapsed="false">
      <c r="A52" s="1" t="s">
        <v>220</v>
      </c>
      <c r="B52" s="1" t="s">
        <v>221</v>
      </c>
      <c r="C52" s="0" t="n">
        <v>3.7</v>
      </c>
      <c r="D52" s="0" t="n">
        <v>6200</v>
      </c>
      <c r="E52" s="0" t="n">
        <v>3</v>
      </c>
      <c r="F52" s="1" t="n">
        <f aca="false">ROUND((C52-AVERAGE(C2:C250))/AVERAGE(C2:C250) * 100,0)</f>
        <v>0</v>
      </c>
      <c r="G52" s="3" t="s">
        <v>222</v>
      </c>
      <c r="H52" s="0" t="n">
        <v>3.5</v>
      </c>
      <c r="I52" s="0" t="n">
        <v>3.4</v>
      </c>
      <c r="J52" s="0" t="n">
        <v>3.7</v>
      </c>
      <c r="K52" s="0" t="n">
        <v>3.4</v>
      </c>
      <c r="L52" s="0" t="n">
        <v>3.6</v>
      </c>
      <c r="M52" s="0" t="n">
        <v>3.4</v>
      </c>
      <c r="N52" s="0" t="n">
        <v>2.9</v>
      </c>
      <c r="O52" s="0" t="n">
        <v>1996</v>
      </c>
      <c r="P52" s="0" t="n">
        <v>19095</v>
      </c>
      <c r="Q52" s="0" t="n">
        <v>36000</v>
      </c>
      <c r="R52" s="3" t="s">
        <v>223</v>
      </c>
      <c r="S52" s="3" t="s">
        <v>34</v>
      </c>
      <c r="U52" s="3" t="s">
        <v>224</v>
      </c>
      <c r="W52" s="3" t="s">
        <v>225</v>
      </c>
    </row>
    <row r="53" customFormat="false" ht="15" hidden="false" customHeight="false" outlineLevel="0" collapsed="false">
      <c r="A53" s="1" t="s">
        <v>220</v>
      </c>
      <c r="B53" s="1" t="s">
        <v>192</v>
      </c>
      <c r="C53" s="0" t="n">
        <v>4.3</v>
      </c>
      <c r="D53" s="0" t="n">
        <v>19</v>
      </c>
      <c r="E53" s="3" t="s">
        <v>193</v>
      </c>
      <c r="F53" s="1" t="n">
        <f aca="false">ROUND((C53-AVERAGE(C2:C251))/AVERAGE(C2:C251) * 100,0)</f>
        <v>16</v>
      </c>
      <c r="G53" s="3" t="s">
        <v>226</v>
      </c>
      <c r="H53" s="0" t="n">
        <v>4.5</v>
      </c>
      <c r="I53" s="0" t="n">
        <v>3.8</v>
      </c>
      <c r="J53" s="0" t="n">
        <v>4.2</v>
      </c>
      <c r="K53" s="3" t="s">
        <v>193</v>
      </c>
      <c r="L53" s="3" t="s">
        <v>193</v>
      </c>
      <c r="M53" s="3" t="s">
        <v>193</v>
      </c>
      <c r="N53" s="3" t="s">
        <v>193</v>
      </c>
      <c r="O53" s="0" t="n">
        <v>2017</v>
      </c>
      <c r="P53" s="3" t="s">
        <v>193</v>
      </c>
      <c r="Q53" s="0" t="n">
        <v>50</v>
      </c>
      <c r="R53" s="3" t="s">
        <v>195</v>
      </c>
      <c r="S53" s="3" t="s">
        <v>150</v>
      </c>
      <c r="U53" s="3" t="s">
        <v>196</v>
      </c>
      <c r="W53" s="3" t="s">
        <v>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2026-06-27T03:29:27Z</dcterms:created>
  <dc:creator>openpyxl</dc:creator>
  <dc:description/>
  <dc:language>en-US</dc:language>
  <cp:lastModifiedBy/>
  <dcterms:modified xsi:type="dcterms:W3CDTF">2026-06-28T07:37:02Z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