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Sheet1!$A$1:$AG$77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<sst xmlns="http://schemas.openxmlformats.org/spreadsheetml/2006/main" count="849" uniqueCount="506">
  <si>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</si>
  <si>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</si>
  <si>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</si>
  <si>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</si>
  <si>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</si>
  <si>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</si>
  <si>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</si>
  <si>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</si>
  <si>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</si>
  <si>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</si>
  <si>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</si>
  <si>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</si>
  <si>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</si>
  <si>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</si>
  <si>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</si>
  <si>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</si>
  <si>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</si>
  <si>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</si>
  <si>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</si>
  <si>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</si>
  <si>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</si>
  <si>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 URL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</si>
  <si>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</si>
  <si>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</si>
  <si>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</si>
  <si>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</si>
  <si>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</si>
  <si>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Median current employee tenure (in years)</t>
  </si>
  <si>
    <t xml:space="preserve">Employee Count Growth 6M %</t>
  </si>
  <si>
    <t xml:space="preserve">Employee Count Growth 1Y %</t>
  </si>
  <si>
    <t xml:space="preserve">Employee Count Growth 2Y %</t>
  </si>
  <si>
    <t xml:space="preserve">Hiring Trend (6M)</t>
  </si>
  <si>
    <t xml:space="preserve">New Hires (6M)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</si>
  <si>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</si>
  <si>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</si>
  <si>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</si>
  <si>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</si>
  <si>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</si>
  <si>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</si>
  <si>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https://www.linkedin.com/company/axtria/insights/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</si>
  <si>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</si>
  <si>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</si>
  <si>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</si>
  <si>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</si>
  <si>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</si>
  <si>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</si>
  <si>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</si>
  <si>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https://www.linkedin.com/company/infosys/insights/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</si>
  <si>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</si>
  <si>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</si>
  <si>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</si>
  <si>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</si>
  <si>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</si>
  <si>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</si>
  <si>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https://www.linkedin.com/company/accenture/insights/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</si>
  <si>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</si>
  <si>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</si>
  <si>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</si>
  <si>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</si>
  <si>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</si>
  <si>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</si>
  <si>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</si>
  <si>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https://www.linkedin.com/company/cognizant/insights/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</si>
  <si>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</si>
  <si>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</si>
  <si>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</si>
  <si>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</si>
  <si>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</si>
  <si>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</si>
  <si>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https://www.linkedin.com/company/nagarro/insights/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</si>
  <si>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</si>
  <si>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</si>
  <si>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</si>
  <si>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</si>
  <si>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</si>
  <si>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</si>
  <si>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</si>
  <si>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https://www.linkedin.com/company/american-express/insights/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</si>
  <si>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</si>
  <si>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</si>
  <si>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</si>
  <si>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</si>
  <si>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</si>
  <si>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</si>
  <si>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https://www.linkedin.com/company/gspann-technologies-inc/insights/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</si>
  <si>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</si>
  <si>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</si>
  <si>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</si>
  <si>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</si>
  <si>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</si>
  <si>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</si>
  <si>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https://www.linkedin.com/company/ibm/insights/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</si>
  <si>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</si>
  <si>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</si>
  <si>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</si>
  <si>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</si>
  <si>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</si>
  <si>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</si>
  <si>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</si>
  <si>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</si>
  <si>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</si>
  <si>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</si>
  <si>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</si>
  <si>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https://www.linkedin.com/company/zs-associates/insights/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</si>
  <si>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</si>
  <si>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</si>
  <si>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</si>
  <si>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</si>
  <si>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</si>
  <si>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https://www.linkedin.com/company/tata-consultancy-services/insights/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</si>
  <si>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</si>
  <si>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</si>
  <si>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</si>
  <si>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</si>
  <si>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</si>
  <si>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</si>
  <si>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https://www.linkedin.com/company/hcltech/insights/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</si>
  <si>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</si>
  <si>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</si>
  <si>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</si>
  <si>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</si>
  <si>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</si>
  <si>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</si>
  <si>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https://www.linkedin.com/company/kpmgindia/insights/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</si>
  <si>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</si>
  <si>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</si>
  <si>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</si>
  <si>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</si>
  <si>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</si>
  <si>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</si>
  <si>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https://www.linkedin.com/company/pwc/insights/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</si>
  <si>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</si>
  <si>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</si>
  <si>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</si>
  <si>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</si>
  <si>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</si>
  <si>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</si>
  <si>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https://www.linkedin.com/company/lumentechnologies/insights/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</si>
  <si>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</si>
  <si>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</si>
  <si>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</si>
  <si>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</si>
  <si>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</si>
  <si>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https://www.linkedin.com/company/techpinnacle-bit-solutions/insights/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</si>
  <si>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</si>
  <si>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</si>
  <si>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</si>
  <si>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-</t>
  </si>
  <si>
    <t xml:space="preserve">Genpact</t>
  </si>
  <si>
    <t xml:space="preserve">https://www.ambitionbox.com/reviews/genpact-reviews</t>
  </si>
  <si>
    <t xml:space="preserve">https://www.genpact.com/</t>
  </si>
  <si>
    <t xml:space="preserve">https://www.linkedin.com/company/genpact/insights/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</si>
  <si>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</si>
  <si>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</si>
  <si>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</si>
  <si>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</si>
  <si>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</si>
  <si>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</si>
  <si>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https://www.linkedin.com/company/google/insights/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</si>
  <si>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</si>
  <si>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</si>
  <si>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</si>
  <si>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</si>
  <si>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</si>
  <si>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https://www.linkedin.com/company/amazon/insights/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</si>
  <si>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</si>
  <si>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</si>
  <si>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</si>
  <si>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</si>
  <si>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</si>
  <si>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</si>
  <si>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https://www.linkedin.com/company/procore-technologies/insights/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</si>
  <si>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</si>
  <si>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</si>
  <si>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</si>
  <si>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</si>
  <si>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</si>
  <si>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</si>
  <si>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</si>
  <si>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https://www.linkedin.com/company/siemens-energy/insights/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</si>
  <si>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</si>
  <si>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</si>
  <si>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</si>
  <si>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</si>
  <si>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</si>
  <si>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</si>
  <si>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</si>
  <si>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https://www.linkedin.com/company/dentsuglobalservices/insights/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</si>
  <si>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</si>
  <si>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</si>
  <si>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</si>
  <si>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</si>
  <si>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</si>
  <si>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</si>
  <si>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https://www.linkedin.com/company/statusneo/insights/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</si>
  <si>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</si>
  <si>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</si>
  <si>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</si>
  <si>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</si>
  <si>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</si>
  <si>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https://www.linkedin.com/company/tredence/insights/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</si>
  <si>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</si>
  <si>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</si>
  <si>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</si>
  <si>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</si>
  <si>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</si>
  <si>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</si>
  <si>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https://www.linkedin.com/company/capgemini/insights/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</si>
  <si>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</si>
  <si>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</si>
  <si>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</si>
  <si>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</si>
  <si>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</si>
  <si>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</si>
  <si>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https://www.linkedin.com/company/hmh-india/insights/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</si>
  <si>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</si>
  <si>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</si>
  <si>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</si>
  <si>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</si>
  <si>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</si>
  <si>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</si>
  <si>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https://www.linkedin.com/company/chegg-inc-/insights/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</si>
  <si>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</si>
  <si>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</si>
  <si>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</si>
  <si>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</si>
  <si>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</si>
  <si>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https://www.linkedin.com/school/khan-academy/insights/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</si>
  <si>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</si>
  <si>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</si>
  <si>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</si>
  <si>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</si>
  <si>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</si>
  <si>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</si>
  <si>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</si>
  <si>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https://www.linkedin.com/company/bounteous-accolite/insights/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</si>
  <si>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</si>
  <si>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</si>
  <si>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</si>
  <si>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</si>
  <si>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https://www.linkedin.com/company/boston-consulting-group/insights/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</si>
  <si>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</si>
  <si>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</si>
  <si>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</si>
  <si>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</si>
  <si>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</si>
  <si>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https://www.linkedin.com/company/spglobal/insights/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</si>
  <si>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</si>
  <si>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</si>
  <si>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</si>
  <si>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</si>
  <si>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</si>
  <si>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</si>
  <si>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https://www.linkedin.com/company/mindlance/insights/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</si>
  <si>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</si>
  <si>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</si>
  <si>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</si>
  <si>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</si>
  <si>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</si>
  <si>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</si>
  <si>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https://www.linkedin.com/company/exl-service/insights/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</si>
  <si>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</si>
  <si>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</si>
  <si>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</si>
  <si>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</si>
  <si>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</si>
  <si>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</si>
  <si>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https://www.linkedin.com/company/optum/insights/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</si>
  <si>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</si>
  <si>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</si>
  <si>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</si>
  <si>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</si>
  <si>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</si>
  <si>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</si>
  <si>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</si>
  <si>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https://www.linkedin.com/company/altimetrik/insights/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</si>
  <si>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</si>
  <si>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</si>
  <si>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</si>
  <si>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</si>
  <si>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</si>
  <si>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</si>
  <si>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https://www.linkedin.com/company/deeplearningai/insights/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</si>
  <si>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</si>
  <si>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</si>
  <si>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</si>
  <si>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</si>
  <si>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</si>
  <si>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</si>
  <si>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https://www.linkedin.com/company/magic-edtech/insights/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</si>
  <si>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</si>
  <si>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</si>
  <si>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</si>
  <si>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</si>
  <si>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</si>
  <si>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</si>
  <si>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</si>
  <si>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https://www.linkedin.com/company/the-webplant-pvt-ltd-/insights/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</si>
  <si>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</si>
  <si>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</si>
  <si>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</si>
  <si>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</si>
  <si>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</si>
  <si>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</si>
  <si>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https://www.linkedin.com/company/techahead/insights/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</si>
  <si>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</si>
  <si>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</si>
  <si>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</si>
  <si>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</si>
  <si>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</si>
  <si>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</si>
  <si>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</si>
  <si>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</si>
  <si>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https://www.linkedin.com/company/mobileum/insights/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</si>
  <si>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</si>
  <si>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</si>
  <si>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</si>
  <si>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</si>
  <si>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</si>
  <si>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</si>
  <si>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</si>
  <si>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</t>
  </si>
  <si>
    <t xml:space="preserve">https://www.linkedin.com/company/virtusa/insights/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</si>
  <si>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</si>
  <si>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</si>
  <si>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</si>
  <si>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</si>
  <si>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</si>
  <si>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</si>
  <si>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</si>
  <si>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</si>
  <si>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Pittsford, New York, United States</t>
  </si>
  <si>
    <t xml:space="preserve">https://www.linkedin.com/company/sutherland-global/insights/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</si>
  <si>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</si>
  <si>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</si>
  <si>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</si>
  <si>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</si>
  <si>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</si>
  <si>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</si>
  <si>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</si>
  <si>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Massachusetts</t>
  </si>
  <si>
    <t xml:space="preserve">https://www.linkedin.com/company/bain-and-company/insights/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</si>
  <si>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</si>
  <si>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</si>
  <si>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</si>
  <si>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</si>
  <si>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</si>
  <si>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</si>
  <si>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</si>
  <si>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https://www.linkedin.com/company/ernstandyoung/insights/</t>
  </si>
  <si>
    <t xml:space="preserve">$53.2 billion</t>
  </si>
  <si>
    <t xml:space="preserve">https://www.ambitionbox.com/salaries/ernst-young-salaries/lead-data-scientist</t>
  </si>
  <si>
    <t xml:space="preserve">Jul / 02 / 2026</t>
  </si>
  <si>
    <t xml:space="preserve">Publicis Sapient</t>
  </si>
  <si>
    <t xml:space="preserve">https://www.ambitionbox.com/reviews/publicis-sapient-reviews</t>
  </si>
  <si>
    <t xml:space="preserve">https://careers.publicissapient.com/locations/india</t>
  </si>
  <si>
    <t xml:space="preserve">Digital Business Transformation</t>
  </si>
  <si>
    <t xml:space="preserve">https://www.linkedin.com/company/publicissapient/insights/</t>
  </si>
  <si>
    <t xml:space="preserve">$4.9 billion </t>
  </si>
  <si>
    <t xml:space="preserve">https://www.ambitionbox.com/salaries/publicis-sapient-salaries/lead-data-scientist</t>
  </si>
  <si>
    <t xml:space="preserve">Persistent Systems</t>
  </si>
  <si>
    <t xml:space="preserve">https://www.ambitionbox.com/reviews/persistent-systems-reviews</t>
  </si>
  <si>
    <t xml:space="preserve">https://www.persistent.com/</t>
  </si>
  <si>
    <t xml:space="preserve">Pune, Maharashtra, India</t>
  </si>
  <si>
    <t xml:space="preserve">https://www.linkedin.com/company/persistent-systems/insights/</t>
  </si>
  <si>
    <t xml:space="preserve">$1.65 billion</t>
  </si>
  <si>
    <t xml:space="preserve">https://www.ambitionbox.com/salaries/persistent-systems-salaries/lead-data-scientist</t>
  </si>
  <si>
    <t xml:space="preserve">FloCareer</t>
  </si>
  <si>
    <t xml:space="preserve">https://www.ambitionbox.com/reviews/flocareer-reviews</t>
  </si>
  <si>
    <t xml:space="preserve">https://flocareer.com/</t>
  </si>
  <si>
    <t xml:space="preserve">Online Recruitment Platform</t>
  </si>
  <si>
    <t xml:space="preserve">Bangalore, Karnataka, India</t>
  </si>
  <si>
    <t xml:space="preserve">https://www.linkedin.com/company/flocareer/insights/</t>
  </si>
  <si>
    <t xml:space="preserve">$25.4 million</t>
  </si>
  <si>
    <t xml:space="preserve">Freelancer</t>
  </si>
  <si>
    <t xml:space="preserve">https://www.ambitionbox.com/salaries/flocareer-salaries/freelancer</t>
  </si>
  <si>
    <t xml:space="preserve">Quantlytix</t>
  </si>
  <si>
    <t xml:space="preserve">https://www.ambitionbox.com/overview/quantlytix-overview</t>
  </si>
  <si>
    <t xml:space="preserve">https://quantlytixsolutions.com/</t>
  </si>
  <si>
    <t xml:space="preserve">https://www.linkedin.com/company/quantlytix-pvt-ltd/insights/</t>
  </si>
  <si>
    <t xml:space="preserve">$0.092 million</t>
  </si>
  <si>
    <t xml:space="preserve">Lead Data Engineer</t>
  </si>
  <si>
    <t xml:space="preserve">https://www.ambitionbox.com/salaries/quantlytix-salaries/data-engineer</t>
  </si>
  <si>
    <t xml:space="preserve">Jul / 05 / 2026</t>
  </si>
  <si>
    <t xml:space="preserve">Eduedgepro</t>
  </si>
  <si>
    <t xml:space="preserve">https://www.ambitionbox.com/overview/eduedgepro-overview</t>
  </si>
  <si>
    <t xml:space="preserve">https://www.eduedgepro.com/</t>
  </si>
  <si>
    <t xml:space="preserve">Corporate Trainings</t>
  </si>
  <si>
    <t xml:space="preserve">Mumbai, Maharashtra, India</t>
  </si>
  <si>
    <t xml:space="preserve">https://www.linkedin.com/company/eduedge-global/</t>
  </si>
  <si>
    <t xml:space="preserve">$0.032 million</t>
  </si>
  <si>
    <t xml:space="preserve">https://www.glassdoor.co.in/Overview/Working-at-EduEdgePro-EI_IE1852098.11,21.htm</t>
  </si>
  <si>
    <t xml:space="preserve">https://www.linkedin.com/company/eduedge-global/insights/</t>
  </si>
  <si>
    <t xml:space="preserve">Zone IT Solutions</t>
  </si>
  <si>
    <t xml:space="preserve">https://www.ambitionbox.com/overview/zone-it-solutions-overview</t>
  </si>
  <si>
    <t xml:space="preserve">https://zoneitsolutions.com/</t>
  </si>
  <si>
    <t xml:space="preserve">Gurugram, Haryana, India</t>
  </si>
  <si>
    <t xml:space="preserve">https://www.linkedin.com/company/zoneitsolutions/insights/</t>
  </si>
  <si>
    <t xml:space="preserve">$28.1 million</t>
  </si>
  <si>
    <t xml:space="preserve">Jul / 07 / 2026</t>
  </si>
  <si>
    <t xml:space="preserve">Fractal Analytics</t>
  </si>
  <si>
    <t xml:space="preserve">https://www.ambitionbox.com/reviews/fractal-analytics-reviews</t>
  </si>
  <si>
    <t xml:space="preserve">https://fractal.ai/</t>
  </si>
  <si>
    <t xml:space="preserve">https://www.linkedin.com/company/fractal-analytics/insights/</t>
  </si>
  <si>
    <t xml:space="preserve">$347.4 million</t>
  </si>
  <si>
    <t xml:space="preserve">https://www.ambitionbox.com/salaries/fractal-analytics-salaries/lead-data-scientist</t>
  </si>
  <si>
    <t xml:space="preserve">Birlasoft</t>
  </si>
  <si>
    <t xml:space="preserve">https://www.ambitionbox.com/reviews/birlasoft-reviews</t>
  </si>
  <si>
    <t xml:space="preserve">https://www.birlasoft.com/</t>
  </si>
  <si>
    <t xml:space="preserve">https://www.linkedin.com/company/birlasoft/insights/</t>
  </si>
  <si>
    <t xml:space="preserve">$559.5 million</t>
  </si>
  <si>
    <t xml:space="preserve">https://www.ambitionbox.com/salaries/birlasoft-salaries/lead-data-scientist</t>
  </si>
  <si>
    <t xml:space="preserve">Hexaware Technologies</t>
  </si>
  <si>
    <t xml:space="preserve">https://www.ambitionbox.com/reviews/hexaware-technologies-reviews</t>
  </si>
  <si>
    <t xml:space="preserve">https://hexaware.com/</t>
  </si>
  <si>
    <t xml:space="preserve">BPO/KPO</t>
  </si>
  <si>
    <t xml:space="preserve">Navi Mumbai, Maharashtra, India</t>
  </si>
  <si>
    <t xml:space="preserve">https://www.linkedin.com/company/hexaware-technologies/insights/</t>
  </si>
  <si>
    <t xml:space="preserve">$1.5 billion</t>
  </si>
  <si>
    <t xml:space="preserve">https://www.ambitionbox.com/salaries/hexaware-technologies-salaries/lead-data-scientist</t>
  </si>
  <si>
    <t xml:space="preserve">Citicorp</t>
  </si>
  <si>
    <t xml:space="preserve">https://www.ambitionbox.com/reviews/citicorp-reviews</t>
  </si>
  <si>
    <t xml:space="preserve">https://www.citigroup.com/global</t>
  </si>
  <si>
    <t xml:space="preserve">Banking (Financial Services)</t>
  </si>
  <si>
    <t xml:space="preserve">https://www.linkedin.com/company/citi/insights/</t>
  </si>
  <si>
    <t xml:space="preserve">$85.2 billion</t>
  </si>
  <si>
    <t xml:space="preserve">https://www.ambitionbox.com/salaries/citicorp-salaries/lead-data-scientist</t>
  </si>
  <si>
    <t xml:space="preserve">Jul / 14 / 2026</t>
  </si>
  <si>
    <t xml:space="preserve">American InfoSource (AIS Info)</t>
  </si>
  <si>
    <t xml:space="preserve">https://www.ambitionbox.com/reviews/american-infosource-reviews</t>
  </si>
  <si>
    <t xml:space="preserve">https://aisinfo.com/</t>
  </si>
  <si>
    <t xml:space="preserve">Houston, United States</t>
  </si>
  <si>
    <t xml:space="preserve">https://www.linkedin.com/company/aisinfo/insights/</t>
  </si>
  <si>
    <t xml:space="preserve">$500 million</t>
  </si>
  <si>
    <t xml:space="preserve">Manager</t>
  </si>
  <si>
    <t xml:space="preserve">https://www.ambitionbox.com/salaries/american-infosource-salaries/manager/data-science-analytics-department</t>
  </si>
  <si>
    <t xml:space="preserve">Microsoft Corporation</t>
  </si>
  <si>
    <t xml:space="preserve">https://www.ambitionbox.com/reviews/microsoft-corporation-reviews</t>
  </si>
  <si>
    <t xml:space="preserve">https://www.microsoft.com/en-in</t>
  </si>
  <si>
    <t xml:space="preserve">Sunnyvale, United States (USA)</t>
  </si>
  <si>
    <t xml:space="preserve">https://www.linkedin.com/company/microsoft/insights/</t>
  </si>
  <si>
    <t xml:space="preserve">$281.72 billion</t>
  </si>
  <si>
    <t xml:space="preserve">https://www.ambitionbox.com/salaries/microsoft-corporation-salaries/lead-data-scientist</t>
  </si>
  <si>
    <t xml:space="preserve">Codingal</t>
  </si>
  <si>
    <t xml:space="preserve">https://www.ambitionbox.com/reviews/codingal-reviews</t>
  </si>
  <si>
    <t xml:space="preserve">https://www.codingal.com/</t>
  </si>
  <si>
    <t xml:space="preserve">Bangalore,Karnataka, India</t>
  </si>
  <si>
    <t xml:space="preserve">https://www.linkedin.com/company/codingal/insights/</t>
  </si>
  <si>
    <t xml:space="preserve">$5 million</t>
  </si>
  <si>
    <t xml:space="preserve">Senior Manager</t>
  </si>
  <si>
    <t xml:space="preserve">https://www.ambitionbox.com/salaries/codingal-salaries/senior-manager</t>
  </si>
  <si>
    <t xml:space="preserve">Jul / 16 / 2026</t>
  </si>
  <si>
    <t xml:space="preserve">FICO</t>
  </si>
  <si>
    <t xml:space="preserve">https://www.ambitionbox.com/overview/fico-overview</t>
  </si>
  <si>
    <t xml:space="preserve">https://www.fico.com/</t>
  </si>
  <si>
    <t xml:space="preserve">Bozeman, Montana</t>
  </si>
  <si>
    <t xml:space="preserve">https://www.linkedin.com/company/fico/insights/</t>
  </si>
  <si>
    <t xml:space="preserve">$2 billion</t>
  </si>
  <si>
    <t xml:space="preserve">https://www.ambitionbox.com/salaries/fico-salaries/lead-data-scientist</t>
  </si>
  <si>
    <t xml:space="preserve">Chetu</t>
  </si>
  <si>
    <t xml:space="preserve">https://www.ambitionbox.com/reviews/chetu-reviews</t>
  </si>
  <si>
    <t xml:space="preserve">https://www.chetu.com/</t>
  </si>
  <si>
    <t xml:space="preserve">Sunrise, FL US, United States (USA)</t>
  </si>
  <si>
    <t xml:space="preserve">https://www.linkedin.com/company/chetu-inc-/insights/</t>
  </si>
  <si>
    <t xml:space="preserve">$74.54 million</t>
  </si>
  <si>
    <t xml:space="preserve">Lead Developer</t>
  </si>
  <si>
    <t xml:space="preserve">https://www.ambitionbox.com/salaries/chetu-salaries/lead-developer</t>
  </si>
  <si>
    <t xml:space="preserve">Sabre</t>
  </si>
  <si>
    <t xml:space="preserve">https://www.ambitionbox.com/overview/sabre-overview</t>
  </si>
  <si>
    <t xml:space="preserve">https://www.sabre.com/</t>
  </si>
  <si>
    <t xml:space="preserve">Southlake,Texas, United States</t>
  </si>
  <si>
    <t xml:space="preserve">https://www.linkedin.com/company/sabre-corporation/insights/</t>
  </si>
  <si>
    <t xml:space="preserve">$2.771 billion</t>
  </si>
  <si>
    <t xml:space="preserve">https://www.ambitionbox.com/salaries/sabre-salaries/lead-data-scientist</t>
  </si>
  <si>
    <t xml:space="preserve">Jul / 17 / 2026</t>
  </si>
  <si>
    <t xml:space="preserve">DXC Technology</t>
  </si>
  <si>
    <t xml:space="preserve">https://www.ambitionbox.com/reviews/dxc-technology-reviews</t>
  </si>
  <si>
    <t xml:space="preserve">https://www.dxc.com/</t>
  </si>
  <si>
    <t xml:space="preserve">Minato,Tokyo, Japan</t>
  </si>
  <si>
    <t xml:space="preserve">https://www.linkedin.com/company/dxctechnology/insights/</t>
  </si>
  <si>
    <t xml:space="preserve">$12.64 billion</t>
  </si>
  <si>
    <t xml:space="preserve">https://www.ambitionbox.com/salaries/dxc-technology-salaries/lead-data-scientist</t>
  </si>
  <si>
    <t xml:space="preserve">Luxoft</t>
  </si>
  <si>
    <t xml:space="preserve">https://www.ambitionbox.com/reviews/luxoft-reviews</t>
  </si>
  <si>
    <t xml:space="preserve">https://www.luxoft.com/</t>
  </si>
  <si>
    <t xml:space="preserve">Zug, Switzerland, Switzerland</t>
  </si>
  <si>
    <t xml:space="preserve">https://www.linkedin.com/company/luxoft/insights/</t>
  </si>
  <si>
    <t xml:space="preserve">$4.1 billion</t>
  </si>
  <si>
    <t xml:space="preserve">https://www.ambitionbox.com/salaries/luxoft-salaries/lead-data-scientist</t>
  </si>
  <si>
    <t xml:space="preserve">Jul / 18 / 2026</t>
  </si>
  <si>
    <t xml:space="preserve">WebVeda.com (Zaan Webveda)</t>
  </si>
  <si>
    <t xml:space="preserve">https://www.ambitionbox.com/reviews/zaan-webveda-reviews</t>
  </si>
  <si>
    <t xml:space="preserve">https://www.webveda.com/</t>
  </si>
  <si>
    <t xml:space="preserve">Faridabad</t>
  </si>
  <si>
    <t xml:space="preserve">https://www.linkedin.com/company/webveda/insights/</t>
  </si>
  <si>
    <t xml:space="preserve">$1.7 million</t>
  </si>
  <si>
    <t xml:space="preserve">Content Writer</t>
  </si>
  <si>
    <t xml:space="preserve">https://www.ambitionbox.com/salaries/zaan-webveda-salaries</t>
  </si>
  <si>
    <t xml:space="preserve">Miracle Software Systems</t>
  </si>
  <si>
    <t xml:space="preserve">https://www.ambitionbox.com/reviews/miracle-software-systems-reviews</t>
  </si>
  <si>
    <t xml:space="preserve">https://www.miraclesoft.com/</t>
  </si>
  <si>
    <t xml:space="preserve">Novi, Michigan</t>
  </si>
  <si>
    <t xml:space="preserve">https://www.linkedin.com/company/miraclesoft/insights/</t>
  </si>
  <si>
    <t xml:space="preserve">$554 million</t>
  </si>
  <si>
    <t xml:space="preserve">Lead Consultant</t>
  </si>
  <si>
    <t xml:space="preserve">https://www.ambitionbox.com/salaries/miracle-software-systems-salaries/lead-consultant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</si>
</sst>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DE8C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inkedin.com/company/infosys/insights/" TargetMode="External"/><Relationship Id="rId2" Type="http://schemas.openxmlformats.org/officeDocument/2006/relationships/hyperlink" Target="https://www.linkedin.com/company/accenture/insights/" TargetMode="External"/><Relationship Id="rId3" Type="http://schemas.openxmlformats.org/officeDocument/2006/relationships/hyperlink" Target="https://www.linkedin.com/company/cognizant/insights/" TargetMode="External"/><Relationship Id="rId4" Type="http://schemas.openxmlformats.org/officeDocument/2006/relationships/hyperlink" Target="https://www.linkedin.com/company/nagarro/insights/" TargetMode="External"/><Relationship Id="rId5" Type="http://schemas.openxmlformats.org/officeDocument/2006/relationships/hyperlink" Target="https://www.linkedin.com/company/infosys/insights/" TargetMode="External"/><Relationship Id="rId6" Type="http://schemas.openxmlformats.org/officeDocument/2006/relationships/hyperlink" Target="https://www.linkedin.com/company/accenture/insights/" TargetMode="External"/><Relationship Id="rId7" Type="http://schemas.openxmlformats.org/officeDocument/2006/relationships/hyperlink" Target="https://www.linkedin.com/company/cognizant/insights/" TargetMode="External"/><Relationship Id="rId8" Type="http://schemas.openxmlformats.org/officeDocument/2006/relationships/hyperlink" Target="https://www.linkedin.com/company/nagarro/insights/" TargetMode="External"/><Relationship Id="rId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G107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E2" activePane="bottomLeft" state="frozen"/>
      <selection pane="topLeft" activeCell="A1" activeCellId="0" sqref="A1"/>
      <selection pane="bottomLeft" activeCell="AE81" activeCellId="0" sqref="AE81"/>
    </sheetView>
  </sheetViews>
  <sheetFormatPr defaultColWidth="8.58984375" defaultRowHeight="15" customHeight="tru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6.18"/>
    <col collapsed="false" customWidth="true" hidden="false" outlineLevel="0" max="3" min="3" style="1" width="6"/>
    <col collapsed="false" customWidth="true" hidden="false" outlineLevel="0" max="5" min="5" style="1" width="5.56"/>
    <col collapsed="false" customWidth="true" hidden="false" outlineLevel="0" max="6" min="6" style="1" width="4.57"/>
    <col collapsed="false" customWidth="true" hidden="false" outlineLevel="0" max="7" min="7" style="1" width="5.38"/>
    <col collapsed="false" customWidth="true" hidden="false" outlineLevel="0" max="8" min="8" style="1" width="6.43"/>
    <col collapsed="false" customWidth="true" hidden="false" outlineLevel="0" max="9" min="9" style="1" width="5.22"/>
    <col collapsed="false" customWidth="true" hidden="false" outlineLevel="0" max="10" min="10" style="1" width="6.31"/>
    <col collapsed="false" customWidth="true" hidden="false" outlineLevel="0" max="11" min="11" style="1" width="7.81"/>
    <col collapsed="false" customWidth="true" hidden="false" outlineLevel="0" max="12" min="12" style="1" width="6.7"/>
    <col collapsed="false" customWidth="true" hidden="false" outlineLevel="0" max="13" min="13" style="1" width="7.81"/>
    <col collapsed="false" customWidth="true" hidden="false" outlineLevel="0" max="14" min="14" style="1" width="4.61"/>
    <col collapsed="false" customWidth="true" hidden="false" outlineLevel="0" max="15" min="15" style="1" width="6.59"/>
    <col collapsed="false" customWidth="true" hidden="false" outlineLevel="0" max="18" min="18" style="1" width="5.06"/>
    <col collapsed="false" customWidth="true" hidden="false" outlineLevel="0" max="19" min="19" style="1" width="8.49"/>
    <col collapsed="false" customWidth="true" hidden="false" outlineLevel="0" max="20" min="20" style="1" width="7.68"/>
    <col collapsed="false" customWidth="true" hidden="false" outlineLevel="0" max="21" min="21" style="1" width="9.8"/>
    <col collapsed="false" customWidth="true" hidden="false" outlineLevel="0" max="22" min="22" style="1" width="10.62"/>
    <col collapsed="false" customWidth="true" hidden="false" outlineLevel="0" max="23" min="23" style="1" width="12.98"/>
    <col collapsed="false" customWidth="true" hidden="false" outlineLevel="0" max="24" min="24" style="1" width="5.22"/>
    <col collapsed="false" customWidth="true" hidden="false" outlineLevel="0" max="25" min="25" style="1" width="7.84"/>
    <col collapsed="false" customWidth="true" hidden="false" outlineLevel="0" max="26" min="26" style="1" width="4.9"/>
    <col collapsed="false" customWidth="true" hidden="false" outlineLevel="0" max="27" min="27" style="1" width="4.4"/>
    <col collapsed="false" customWidth="true" hidden="false" outlineLevel="0" max="29" min="29" style="1" width="5.39"/>
    <col collapsed="false" customWidth="true" hidden="false" outlineLevel="0" max="30" min="30" style="1" width="5.06"/>
    <col collapsed="false" customWidth="true" hidden="false" outlineLevel="0" max="31" min="31" style="1" width="5.88"/>
    <col collapsed="false" customWidth="true" hidden="false" outlineLevel="0" max="32" min="32" style="1" width="6.37"/>
    <col collapsed="false" customWidth="false" hidden="false" outlineLevel="0" max="16384" min="34" style="2" width="8.59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s="1" customFormat="true" ht="15" hidden="true" customHeight="false" outlineLevel="0" collapsed="false">
      <c r="A2" s="1" t="s">
        <v>33</v>
      </c>
      <c r="B2" s="1" t="s">
        <v>34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35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36</v>
      </c>
      <c r="S2" s="1" t="s">
        <v>37</v>
      </c>
      <c r="U2" s="1" t="s">
        <v>38</v>
      </c>
      <c r="V2" s="1" t="s">
        <v>39</v>
      </c>
      <c r="W2" s="1" t="s">
        <v>40</v>
      </c>
      <c r="X2" s="1" t="s">
        <v>41</v>
      </c>
      <c r="Y2" s="1" t="n">
        <v>24.5</v>
      </c>
      <c r="Z2" s="1" t="s">
        <v>42</v>
      </c>
      <c r="AA2" s="1" t="n">
        <v>13</v>
      </c>
      <c r="AB2" s="1" t="n">
        <v>3.9</v>
      </c>
      <c r="AC2" s="1" t="n">
        <v>0</v>
      </c>
      <c r="AD2" s="1" t="n">
        <v>1</v>
      </c>
      <c r="AE2" s="1" t="n">
        <v>0</v>
      </c>
      <c r="AF2" s="1" t="n">
        <v>-65</v>
      </c>
      <c r="AG2" s="1" t="n">
        <v>275</v>
      </c>
    </row>
    <row r="3" s="3" customFormat="true" ht="16.4" hidden="true" customHeight="false" outlineLevel="0" collapsed="false">
      <c r="A3" s="4" t="s">
        <v>33</v>
      </c>
      <c r="B3" s="4" t="s">
        <v>43</v>
      </c>
      <c r="C3" s="4" t="n">
        <v>3.5</v>
      </c>
      <c r="D3" s="4" t="n">
        <v>47300</v>
      </c>
      <c r="E3" s="4" t="n">
        <v>-3</v>
      </c>
      <c r="F3" s="4" t="n">
        <f aca="false">ROUND((C3-AVERAGE(C2:C201))/AVERAGE(C2:C201) * 100,0)</f>
        <v>-5</v>
      </c>
      <c r="G3" s="4" t="s">
        <v>44</v>
      </c>
      <c r="H3" s="4" t="n">
        <v>3.6</v>
      </c>
      <c r="I3" s="4" t="n">
        <v>2.7</v>
      </c>
      <c r="J3" s="4" t="n">
        <v>3.6</v>
      </c>
      <c r="K3" s="4" t="n">
        <v>3.3</v>
      </c>
      <c r="L3" s="4" t="n">
        <v>3.5</v>
      </c>
      <c r="M3" s="4" t="n">
        <v>3.9</v>
      </c>
      <c r="N3" s="4" t="n">
        <v>2.6</v>
      </c>
      <c r="O3" s="4" t="n">
        <v>1981</v>
      </c>
      <c r="P3" s="4" t="n">
        <v>100000</v>
      </c>
      <c r="Q3" s="4" t="n">
        <v>100000</v>
      </c>
      <c r="R3" s="4" t="s">
        <v>45</v>
      </c>
      <c r="S3" s="4" t="s">
        <v>46</v>
      </c>
      <c r="T3" s="4"/>
      <c r="U3" s="4"/>
      <c r="V3" s="4" t="s">
        <v>47</v>
      </c>
      <c r="W3" s="4" t="s">
        <v>48</v>
      </c>
      <c r="X3" s="4" t="s">
        <v>41</v>
      </c>
      <c r="Y3" s="4" t="n">
        <v>24.3</v>
      </c>
      <c r="Z3" s="4" t="s">
        <v>49</v>
      </c>
      <c r="AA3" s="4" t="n">
        <v>13</v>
      </c>
      <c r="AB3" s="4" t="n">
        <v>4.2</v>
      </c>
      <c r="AC3" s="4" t="n">
        <v>0</v>
      </c>
      <c r="AD3" s="4" t="n">
        <v>5</v>
      </c>
      <c r="AE3" s="4" t="n">
        <v>14</v>
      </c>
      <c r="AF3" s="3" t="n">
        <v>-30</v>
      </c>
      <c r="AG3" s="3" t="n">
        <v>18644</v>
      </c>
    </row>
    <row r="4" s="1" customFormat="true" ht="16.4" hidden="true" customHeight="false" outlineLevel="0" collapsed="false">
      <c r="A4" s="1" t="s">
        <v>33</v>
      </c>
      <c r="B4" s="1" t="s">
        <v>50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0</v>
      </c>
      <c r="G4" s="1" t="s">
        <v>51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52</v>
      </c>
      <c r="S4" s="1" t="s">
        <v>46</v>
      </c>
      <c r="T4" s="1" t="s">
        <v>53</v>
      </c>
      <c r="V4" s="1" t="s">
        <v>54</v>
      </c>
      <c r="W4" s="1" t="s">
        <v>55</v>
      </c>
      <c r="X4" s="1" t="s">
        <v>56</v>
      </c>
      <c r="Y4" s="1" t="n">
        <v>26.9</v>
      </c>
      <c r="Z4" s="1" t="s">
        <v>57</v>
      </c>
      <c r="AA4" s="1" t="n">
        <v>13</v>
      </c>
      <c r="AB4" s="1" t="n">
        <v>4</v>
      </c>
      <c r="AC4" s="1" t="n">
        <v>3</v>
      </c>
      <c r="AD4" s="1" t="n">
        <v>6</v>
      </c>
      <c r="AE4" s="1" t="n">
        <v>12</v>
      </c>
      <c r="AF4" s="1" t="n">
        <v>-23</v>
      </c>
      <c r="AG4" s="1" t="n">
        <v>55714</v>
      </c>
    </row>
    <row r="5" s="3" customFormat="true" ht="16.4" hidden="true" customHeight="false" outlineLevel="0" collapsed="false">
      <c r="A5" s="4" t="s">
        <v>33</v>
      </c>
      <c r="B5" s="4" t="s">
        <v>58</v>
      </c>
      <c r="C5" s="4" t="n">
        <v>3.6</v>
      </c>
      <c r="D5" s="4" t="n">
        <v>59900</v>
      </c>
      <c r="E5" s="4" t="n">
        <v>0</v>
      </c>
      <c r="F5" s="4" t="n">
        <f aca="false">ROUND((C5-AVERAGE(C2:C203))/AVERAGE(C2:C203) * 100,0)</f>
        <v>-2</v>
      </c>
      <c r="G5" s="4" t="s">
        <v>59</v>
      </c>
      <c r="H5" s="4" t="n">
        <v>3.5</v>
      </c>
      <c r="I5" s="4" t="n">
        <v>3.2</v>
      </c>
      <c r="J5" s="4" t="n">
        <v>3.6</v>
      </c>
      <c r="K5" s="4" t="n">
        <v>3.4</v>
      </c>
      <c r="L5" s="4" t="n">
        <v>3.6</v>
      </c>
      <c r="M5" s="4" t="n">
        <v>3.6</v>
      </c>
      <c r="N5" s="4" t="n">
        <v>2.9</v>
      </c>
      <c r="O5" s="4" t="n">
        <v>1994</v>
      </c>
      <c r="P5" s="4" t="n">
        <v>256000</v>
      </c>
      <c r="Q5" s="4" t="n">
        <v>357600</v>
      </c>
      <c r="R5" s="4" t="s">
        <v>60</v>
      </c>
      <c r="S5" s="4" t="s">
        <v>46</v>
      </c>
      <c r="T5" s="4" t="s">
        <v>61</v>
      </c>
      <c r="U5" s="4"/>
      <c r="V5" s="4" t="s">
        <v>62</v>
      </c>
      <c r="W5" s="4" t="s">
        <v>63</v>
      </c>
      <c r="X5" s="4" t="s">
        <v>41</v>
      </c>
      <c r="Y5" s="4" t="n">
        <v>28.3</v>
      </c>
      <c r="Z5" s="4" t="s">
        <v>64</v>
      </c>
      <c r="AA5" s="4" t="n">
        <v>13</v>
      </c>
      <c r="AB5" s="4" t="n">
        <v>4.3</v>
      </c>
      <c r="AC5" s="4" t="n">
        <v>1</v>
      </c>
      <c r="AD5" s="4" t="n">
        <v>3</v>
      </c>
      <c r="AE5" s="4" t="n">
        <v>9</v>
      </c>
      <c r="AF5" s="3" t="n">
        <v>-42</v>
      </c>
      <c r="AG5" s="3" t="n">
        <v>24573</v>
      </c>
    </row>
    <row r="6" s="1" customFormat="true" ht="16.4" hidden="true" customHeight="false" outlineLevel="0" collapsed="false">
      <c r="A6" s="1" t="s">
        <v>33</v>
      </c>
      <c r="B6" s="1" t="s">
        <v>65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66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67</v>
      </c>
      <c r="S6" s="1" t="s">
        <v>46</v>
      </c>
      <c r="T6" s="1" t="s">
        <v>68</v>
      </c>
      <c r="V6" s="1" t="s">
        <v>69</v>
      </c>
      <c r="W6" s="1" t="s">
        <v>70</v>
      </c>
      <c r="X6" s="1" t="s">
        <v>41</v>
      </c>
      <c r="Y6" s="1" t="n">
        <v>39.6</v>
      </c>
      <c r="Z6" s="1" t="s">
        <v>71</v>
      </c>
      <c r="AA6" s="1" t="n">
        <v>13</v>
      </c>
      <c r="AB6" s="1" t="n">
        <v>3.8</v>
      </c>
      <c r="AC6" s="1" t="n">
        <v>3</v>
      </c>
      <c r="AD6" s="1" t="n">
        <v>6</v>
      </c>
      <c r="AE6" s="1" t="n">
        <v>10</v>
      </c>
      <c r="AF6" s="1" t="n">
        <v>-44</v>
      </c>
      <c r="AG6" s="1" t="n">
        <v>1502</v>
      </c>
    </row>
    <row r="7" s="3" customFormat="true" ht="15" hidden="true" customHeight="false" outlineLevel="0" collapsed="false">
      <c r="A7" s="4" t="s">
        <v>33</v>
      </c>
      <c r="B7" s="4" t="s">
        <v>72</v>
      </c>
      <c r="C7" s="4" t="n">
        <v>4.1</v>
      </c>
      <c r="D7" s="4" t="n">
        <v>3800</v>
      </c>
      <c r="E7" s="4" t="n">
        <v>11</v>
      </c>
      <c r="F7" s="4" t="n">
        <f aca="false">ROUND((C7-AVERAGE(C2:C205))/AVERAGE(C2:C205) * 100,0)</f>
        <v>11</v>
      </c>
      <c r="G7" s="4" t="s">
        <v>73</v>
      </c>
      <c r="H7" s="4" t="n">
        <v>4.1</v>
      </c>
      <c r="I7" s="4" t="n">
        <v>4</v>
      </c>
      <c r="J7" s="4" t="n">
        <v>4.1</v>
      </c>
      <c r="K7" s="4" t="n">
        <v>3.8</v>
      </c>
      <c r="L7" s="4" t="n">
        <v>3.7</v>
      </c>
      <c r="M7" s="4" t="n">
        <v>4</v>
      </c>
      <c r="N7" s="4" t="n">
        <v>3.3</v>
      </c>
      <c r="O7" s="4" t="n">
        <v>1850</v>
      </c>
      <c r="P7" s="4" t="n">
        <v>15000</v>
      </c>
      <c r="Q7" s="4" t="n">
        <v>76800</v>
      </c>
      <c r="R7" s="4" t="s">
        <v>74</v>
      </c>
      <c r="S7" s="4" t="s">
        <v>75</v>
      </c>
      <c r="T7" s="4" t="s">
        <v>76</v>
      </c>
      <c r="U7" s="4"/>
      <c r="V7" s="4" t="s">
        <v>77</v>
      </c>
      <c r="W7" s="4" t="s">
        <v>78</v>
      </c>
      <c r="X7" s="4" t="s">
        <v>41</v>
      </c>
      <c r="Y7" s="4" t="n">
        <v>49.8</v>
      </c>
      <c r="Z7" s="4" t="s">
        <v>79</v>
      </c>
      <c r="AA7" s="4" t="n">
        <v>13</v>
      </c>
      <c r="AB7" s="4" t="n">
        <v>4.3</v>
      </c>
      <c r="AC7" s="4" t="n">
        <v>14</v>
      </c>
      <c r="AD7" s="4" t="n">
        <v>20</v>
      </c>
      <c r="AE7" s="4" t="n">
        <v>28</v>
      </c>
      <c r="AF7" s="3" t="n">
        <v>-3</v>
      </c>
      <c r="AG7" s="3" t="n">
        <v>15847</v>
      </c>
    </row>
    <row r="8" s="1" customFormat="true" ht="15" hidden="true" customHeight="false" outlineLevel="0" collapsed="false">
      <c r="A8" s="1" t="s">
        <v>80</v>
      </c>
      <c r="B8" s="1" t="s">
        <v>81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82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83</v>
      </c>
      <c r="S8" s="1" t="s">
        <v>46</v>
      </c>
      <c r="V8" s="1" t="s">
        <v>84</v>
      </c>
      <c r="W8" s="1" t="s">
        <v>85</v>
      </c>
      <c r="X8" s="1" t="s">
        <v>41</v>
      </c>
      <c r="Y8" s="1" t="n">
        <v>31.4</v>
      </c>
      <c r="Z8" s="5" t="s">
        <v>86</v>
      </c>
      <c r="AA8" s="1" t="n">
        <v>13</v>
      </c>
      <c r="AB8" s="1" t="n">
        <v>2.9</v>
      </c>
      <c r="AC8" s="1" t="n">
        <v>9</v>
      </c>
      <c r="AD8" s="1" t="n">
        <v>21</v>
      </c>
      <c r="AE8" s="1" t="n">
        <v>44</v>
      </c>
      <c r="AF8" s="1" t="n">
        <v>103</v>
      </c>
      <c r="AG8" s="1" t="n">
        <v>279</v>
      </c>
    </row>
    <row r="9" s="3" customFormat="true" ht="15" hidden="true" customHeight="false" outlineLevel="0" collapsed="false">
      <c r="A9" s="4" t="s">
        <v>87</v>
      </c>
      <c r="B9" s="4" t="s">
        <v>88</v>
      </c>
      <c r="C9" s="4" t="n">
        <v>3.7</v>
      </c>
      <c r="D9" s="4" t="n">
        <v>148</v>
      </c>
      <c r="E9" s="4" t="n">
        <v>0</v>
      </c>
      <c r="F9" s="4" t="n">
        <f aca="false">ROUND((C9-AVERAGE(C2:C207))/AVERAGE(C2:C207) * 100,0)</f>
        <v>0</v>
      </c>
      <c r="G9" s="4" t="s">
        <v>89</v>
      </c>
      <c r="H9" s="4" t="n">
        <v>3.6</v>
      </c>
      <c r="I9" s="4" t="n">
        <v>3.3</v>
      </c>
      <c r="J9" s="4" t="n">
        <v>4</v>
      </c>
      <c r="K9" s="4" t="n">
        <v>3.4</v>
      </c>
      <c r="L9" s="4" t="n">
        <v>3.8</v>
      </c>
      <c r="M9" s="4" t="n">
        <v>3.7</v>
      </c>
      <c r="N9" s="4" t="n">
        <v>2.7</v>
      </c>
      <c r="O9" s="4" t="n">
        <v>1991</v>
      </c>
      <c r="P9" s="4" t="n">
        <v>50000</v>
      </c>
      <c r="Q9" s="4" t="n">
        <v>160000</v>
      </c>
      <c r="R9" s="4" t="s">
        <v>90</v>
      </c>
      <c r="S9" s="4" t="s">
        <v>46</v>
      </c>
      <c r="T9" s="4"/>
      <c r="U9" s="4"/>
      <c r="V9" s="4" t="s">
        <v>91</v>
      </c>
      <c r="W9" s="4" t="s">
        <v>92</v>
      </c>
      <c r="X9" s="4" t="s">
        <v>41</v>
      </c>
      <c r="Y9" s="4" t="n">
        <v>47.3</v>
      </c>
      <c r="Z9" s="4" t="s">
        <v>93</v>
      </c>
      <c r="AA9" s="4" t="n">
        <v>13</v>
      </c>
      <c r="AB9" s="4" t="n">
        <v>5.7</v>
      </c>
      <c r="AC9" s="4" t="n">
        <v>8</v>
      </c>
      <c r="AD9" s="4" t="n">
        <v>9</v>
      </c>
      <c r="AE9" s="4" t="n">
        <v>10</v>
      </c>
      <c r="AF9" s="3" t="n">
        <v>65</v>
      </c>
      <c r="AG9" s="3" t="n">
        <v>37274</v>
      </c>
    </row>
    <row r="10" s="1" customFormat="true" ht="15" hidden="true" customHeight="false" outlineLevel="0" collapsed="false">
      <c r="A10" s="1" t="s">
        <v>87</v>
      </c>
      <c r="B10" s="1" t="s">
        <v>94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95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90</v>
      </c>
      <c r="S10" s="1" t="s">
        <v>46</v>
      </c>
      <c r="T10" s="1" t="s">
        <v>75</v>
      </c>
      <c r="V10" s="1" t="s">
        <v>91</v>
      </c>
      <c r="W10" s="1" t="s">
        <v>96</v>
      </c>
      <c r="X10" s="1" t="s">
        <v>41</v>
      </c>
      <c r="Y10" s="1" t="n">
        <v>35.2</v>
      </c>
      <c r="Z10" s="5" t="s">
        <v>97</v>
      </c>
      <c r="AA10" s="1" t="n">
        <v>13</v>
      </c>
      <c r="AB10" s="1" t="n">
        <v>5.7</v>
      </c>
      <c r="AC10" s="1" t="n">
        <v>8</v>
      </c>
      <c r="AD10" s="1" t="n">
        <v>9</v>
      </c>
      <c r="AE10" s="1" t="n">
        <v>10</v>
      </c>
      <c r="AF10" s="1" t="n">
        <v>65</v>
      </c>
      <c r="AG10" s="1" t="n">
        <v>37274</v>
      </c>
    </row>
    <row r="11" s="3" customFormat="true" ht="15" hidden="true" customHeight="false" outlineLevel="0" collapsed="false">
      <c r="A11" s="4" t="s">
        <v>98</v>
      </c>
      <c r="B11" s="4" t="s">
        <v>99</v>
      </c>
      <c r="C11" s="4" t="n">
        <v>3.1</v>
      </c>
      <c r="D11" s="4" t="n">
        <v>2800</v>
      </c>
      <c r="E11" s="4" t="n">
        <v>-14</v>
      </c>
      <c r="F11" s="4" t="n">
        <f aca="false">ROUND((C11-AVERAGE(C2:C209))/AVERAGE(C2:C209) * 100,0)</f>
        <v>-16</v>
      </c>
      <c r="G11" s="4" t="s">
        <v>100</v>
      </c>
      <c r="H11" s="4" t="n">
        <v>3.1</v>
      </c>
      <c r="I11" s="4" t="n">
        <v>3.6</v>
      </c>
      <c r="J11" s="4" t="n">
        <v>2</v>
      </c>
      <c r="K11" s="4" t="n">
        <v>2.7</v>
      </c>
      <c r="L11" s="4" t="n">
        <v>3.1</v>
      </c>
      <c r="M11" s="4" t="n">
        <v>3.2</v>
      </c>
      <c r="N11" s="4" t="n">
        <v>3</v>
      </c>
      <c r="O11" s="4" t="n">
        <v>1983</v>
      </c>
      <c r="P11" s="4" t="n">
        <v>10400</v>
      </c>
      <c r="Q11" s="4" t="n">
        <v>15000</v>
      </c>
      <c r="R11" s="4" t="s">
        <v>101</v>
      </c>
      <c r="S11" s="4" t="s">
        <v>102</v>
      </c>
      <c r="T11" s="4" t="s">
        <v>46</v>
      </c>
      <c r="U11" s="4"/>
      <c r="V11" s="4" t="s">
        <v>103</v>
      </c>
      <c r="W11" s="4" t="s">
        <v>104</v>
      </c>
      <c r="X11" s="4" t="s">
        <v>41</v>
      </c>
      <c r="Y11" s="4" t="n">
        <v>46.3</v>
      </c>
      <c r="Z11" s="4" t="s">
        <v>105</v>
      </c>
      <c r="AA11" s="4" t="n">
        <v>13</v>
      </c>
      <c r="AB11" s="4" t="n">
        <v>1.8</v>
      </c>
      <c r="AC11" s="4" t="n">
        <v>4</v>
      </c>
      <c r="AD11" s="4" t="n">
        <v>32</v>
      </c>
      <c r="AE11" s="4" t="n">
        <v>53</v>
      </c>
      <c r="AF11" s="3" t="n">
        <v>-37</v>
      </c>
      <c r="AG11" s="3" t="n">
        <v>2655</v>
      </c>
    </row>
    <row r="12" s="1" customFormat="true" ht="15" hidden="true" customHeight="false" outlineLevel="0" collapsed="false">
      <c r="A12" s="1" t="s">
        <v>98</v>
      </c>
      <c r="B12" s="1" t="s">
        <v>106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-11</v>
      </c>
      <c r="G12" s="1" t="s">
        <v>107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108</v>
      </c>
      <c r="S12" s="1" t="s">
        <v>46</v>
      </c>
      <c r="T12" s="1" t="s">
        <v>75</v>
      </c>
      <c r="V12" s="1" t="s">
        <v>109</v>
      </c>
      <c r="W12" s="1" t="s">
        <v>110</v>
      </c>
      <c r="X12" s="1" t="s">
        <v>41</v>
      </c>
      <c r="Y12" s="1" t="n">
        <v>24.3</v>
      </c>
      <c r="Z12" s="5" t="s">
        <v>111</v>
      </c>
      <c r="AA12" s="1" t="n">
        <v>13</v>
      </c>
      <c r="AB12" s="1" t="n">
        <v>4.4</v>
      </c>
      <c r="AC12" s="1" t="n">
        <v>2</v>
      </c>
      <c r="AD12" s="1" t="n">
        <v>3</v>
      </c>
      <c r="AE12" s="1" t="n">
        <v>8</v>
      </c>
      <c r="AF12" s="1" t="n">
        <v>9</v>
      </c>
      <c r="AG12" s="1" t="n">
        <v>43595</v>
      </c>
    </row>
    <row r="13" s="3" customFormat="true" ht="15" hidden="true" customHeight="false" outlineLevel="0" collapsed="false">
      <c r="A13" s="4" t="s">
        <v>98</v>
      </c>
      <c r="B13" s="4" t="s">
        <v>112</v>
      </c>
      <c r="C13" s="4" t="n">
        <v>3.4</v>
      </c>
      <c r="D13" s="4" t="n">
        <v>46500</v>
      </c>
      <c r="E13" s="4" t="n">
        <v>-6</v>
      </c>
      <c r="F13" s="4" t="n">
        <f aca="false">ROUND((C13-AVERAGE(C2:C211))/AVERAGE(C2:C211) * 100,0)</f>
        <v>-8</v>
      </c>
      <c r="G13" s="4" t="s">
        <v>113</v>
      </c>
      <c r="H13" s="4" t="n">
        <v>3.3</v>
      </c>
      <c r="I13" s="4" t="n">
        <v>2.8</v>
      </c>
      <c r="J13" s="4" t="n">
        <v>3.5</v>
      </c>
      <c r="K13" s="4" t="n">
        <v>3.2</v>
      </c>
      <c r="L13" s="4" t="n">
        <v>3.2</v>
      </c>
      <c r="M13" s="4" t="n">
        <v>3.6</v>
      </c>
      <c r="N13" s="4" t="n">
        <v>2.5</v>
      </c>
      <c r="O13" s="4" t="n">
        <v>1991</v>
      </c>
      <c r="P13" s="4" t="n">
        <v>180000</v>
      </c>
      <c r="Q13" s="4" t="n">
        <v>227181</v>
      </c>
      <c r="R13" s="4" t="s">
        <v>114</v>
      </c>
      <c r="S13" s="4" t="s">
        <v>46</v>
      </c>
      <c r="T13" s="4" t="s">
        <v>115</v>
      </c>
      <c r="U13" s="4"/>
      <c r="V13" s="4" t="s">
        <v>116</v>
      </c>
      <c r="W13" s="4" t="s">
        <v>117</v>
      </c>
      <c r="X13" s="4" t="s">
        <v>41</v>
      </c>
      <c r="Y13" s="4" t="n">
        <v>26.4</v>
      </c>
      <c r="Z13" s="4" t="s">
        <v>118</v>
      </c>
      <c r="AA13" s="4" t="n">
        <v>13</v>
      </c>
      <c r="AB13" s="4" t="n">
        <v>4</v>
      </c>
      <c r="AC13" s="4" t="n">
        <v>2</v>
      </c>
      <c r="AD13" s="4" t="n">
        <v>5</v>
      </c>
      <c r="AE13" s="4" t="n">
        <v>12</v>
      </c>
      <c r="AF13" s="3" t="n">
        <v>-28</v>
      </c>
      <c r="AG13" s="3" t="n">
        <v>15448</v>
      </c>
    </row>
    <row r="14" s="1" customFormat="true" ht="15" hidden="true" customHeight="false" outlineLevel="0" collapsed="false">
      <c r="A14" s="1" t="s">
        <v>119</v>
      </c>
      <c r="B14" s="1" t="s">
        <v>120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121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122</v>
      </c>
      <c r="S14" s="1" t="s">
        <v>102</v>
      </c>
      <c r="T14" s="1" t="s">
        <v>46</v>
      </c>
      <c r="V14" s="1" t="s">
        <v>123</v>
      </c>
      <c r="W14" s="1" t="s">
        <v>124</v>
      </c>
      <c r="X14" s="1" t="s">
        <v>41</v>
      </c>
      <c r="Y14" s="1" t="n">
        <v>27.6</v>
      </c>
      <c r="Z14" s="5" t="s">
        <v>125</v>
      </c>
      <c r="AA14" s="1" t="n">
        <v>13</v>
      </c>
      <c r="AB14" s="1" t="n">
        <v>3</v>
      </c>
      <c r="AC14" s="1" t="n">
        <v>2</v>
      </c>
      <c r="AD14" s="1" t="n">
        <v>6</v>
      </c>
      <c r="AE14" s="1" t="n">
        <v>13</v>
      </c>
      <c r="AF14" s="1" t="n">
        <v>-42</v>
      </c>
      <c r="AG14" s="1" t="n">
        <v>3404</v>
      </c>
    </row>
    <row r="15" s="1" customFormat="true" ht="15" hidden="true" customHeight="false" outlineLevel="0" collapsed="false">
      <c r="A15" s="4" t="s">
        <v>119</v>
      </c>
      <c r="B15" s="4" t="s">
        <v>126</v>
      </c>
      <c r="C15" s="4" t="n">
        <v>3.3</v>
      </c>
      <c r="D15" s="4" t="n">
        <v>12900</v>
      </c>
      <c r="E15" s="4" t="n">
        <v>-8</v>
      </c>
      <c r="F15" s="4" t="n">
        <f aca="false">ROUND((C15-AVERAGE(C2:C214))/AVERAGE(C2:C214) * 100,0)</f>
        <v>-11</v>
      </c>
      <c r="G15" s="4" t="s">
        <v>127</v>
      </c>
      <c r="H15" s="4" t="n">
        <v>3.2</v>
      </c>
      <c r="I15" s="4" t="n">
        <v>3.3</v>
      </c>
      <c r="J15" s="4" t="n">
        <v>3</v>
      </c>
      <c r="K15" s="4" t="n">
        <v>3</v>
      </c>
      <c r="L15" s="4" t="n">
        <v>3.4</v>
      </c>
      <c r="M15" s="4" t="n">
        <v>3.4</v>
      </c>
      <c r="N15" s="4" t="n">
        <v>2.8</v>
      </c>
      <c r="O15" s="4" t="n">
        <v>1880</v>
      </c>
      <c r="P15" s="4" t="n">
        <v>30000</v>
      </c>
      <c r="Q15" s="4" t="n">
        <v>370000</v>
      </c>
      <c r="R15" s="4" t="s">
        <v>128</v>
      </c>
      <c r="S15" s="4" t="s">
        <v>102</v>
      </c>
      <c r="T15" s="4" t="s">
        <v>129</v>
      </c>
      <c r="U15" s="4"/>
      <c r="V15" s="4" t="s">
        <v>130</v>
      </c>
      <c r="W15" s="4" t="s">
        <v>131</v>
      </c>
      <c r="X15" s="4" t="s">
        <v>41</v>
      </c>
      <c r="Y15" s="4" t="n">
        <v>43.4</v>
      </c>
      <c r="Z15" s="4" t="s">
        <v>132</v>
      </c>
      <c r="AA15" s="4" t="n">
        <v>13</v>
      </c>
      <c r="AB15" s="4" t="n">
        <v>3.9</v>
      </c>
      <c r="AC15" s="4" t="n">
        <v>1</v>
      </c>
      <c r="AD15" s="4" t="n">
        <v>6</v>
      </c>
      <c r="AE15" s="4" t="n">
        <v>9</v>
      </c>
      <c r="AF15" s="3" t="n">
        <v>-23</v>
      </c>
      <c r="AG15" s="3" t="n">
        <v>16441</v>
      </c>
    </row>
    <row r="16" s="1" customFormat="true" ht="15" hidden="true" customHeight="false" outlineLevel="0" collapsed="false">
      <c r="A16" s="1" t="s">
        <v>119</v>
      </c>
      <c r="B16" s="1" t="s">
        <v>133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134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135</v>
      </c>
      <c r="S16" s="1" t="s">
        <v>136</v>
      </c>
      <c r="T16" s="1" t="s">
        <v>68</v>
      </c>
      <c r="V16" s="1" t="s">
        <v>137</v>
      </c>
      <c r="W16" s="1" t="s">
        <v>138</v>
      </c>
      <c r="X16" s="1" t="s">
        <v>41</v>
      </c>
      <c r="Y16" s="1" t="n">
        <v>88.2</v>
      </c>
      <c r="Z16" s="5" t="s">
        <v>139</v>
      </c>
      <c r="AA16" s="1" t="n">
        <v>13</v>
      </c>
      <c r="AB16" s="1" t="n">
        <v>4.8</v>
      </c>
      <c r="AC16" s="1" t="n">
        <v>1</v>
      </c>
      <c r="AD16" s="1" t="n">
        <v>0</v>
      </c>
      <c r="AE16" s="1" t="n">
        <v>0</v>
      </c>
      <c r="AF16" s="1" t="n">
        <v>-1</v>
      </c>
      <c r="AG16" s="1" t="n">
        <v>774</v>
      </c>
    </row>
    <row r="17" s="1" customFormat="true" ht="15" hidden="true" customHeight="false" outlineLevel="0" collapsed="false">
      <c r="A17" s="4" t="s">
        <v>119</v>
      </c>
      <c r="B17" s="4" t="s">
        <v>140</v>
      </c>
      <c r="C17" s="4" t="n">
        <v>4.7</v>
      </c>
      <c r="D17" s="4" t="n">
        <v>18</v>
      </c>
      <c r="E17" s="4" t="n">
        <v>0</v>
      </c>
      <c r="F17" s="4" t="n">
        <f aca="false">ROUND((C17-AVERAGE(C2:C216))/AVERAGE(C2:C216) * 100,0)</f>
        <v>27</v>
      </c>
      <c r="G17" s="4" t="s">
        <v>141</v>
      </c>
      <c r="H17" s="4" t="n">
        <v>4.7</v>
      </c>
      <c r="I17" s="4" t="n">
        <v>4.4</v>
      </c>
      <c r="J17" s="4" t="n">
        <v>4.7</v>
      </c>
      <c r="K17" s="4" t="n">
        <v>4.5</v>
      </c>
      <c r="L17" s="4" t="n">
        <v>4.4</v>
      </c>
      <c r="M17" s="4" t="n">
        <v>4.6</v>
      </c>
      <c r="N17" s="4" t="n">
        <v>4.2</v>
      </c>
      <c r="O17" s="4" t="n">
        <v>2016</v>
      </c>
      <c r="P17" s="4" t="n">
        <v>140</v>
      </c>
      <c r="Q17" s="4" t="n">
        <v>140</v>
      </c>
      <c r="R17" s="4" t="s">
        <v>142</v>
      </c>
      <c r="S17" s="4" t="s">
        <v>46</v>
      </c>
      <c r="T17" s="4"/>
      <c r="U17" s="4"/>
      <c r="V17" s="4" t="s">
        <v>143</v>
      </c>
      <c r="W17" s="4" t="s">
        <v>144</v>
      </c>
      <c r="X17" s="4" t="s">
        <v>145</v>
      </c>
      <c r="Y17" s="4" t="n">
        <v>16.8</v>
      </c>
      <c r="Z17" s="4" t="s">
        <v>146</v>
      </c>
      <c r="AA17" s="4" t="n">
        <v>13</v>
      </c>
      <c r="AB17" s="4" t="n">
        <v>2.8</v>
      </c>
      <c r="AC17" s="4" t="n">
        <v>3</v>
      </c>
      <c r="AD17" s="4" t="n">
        <v>3</v>
      </c>
      <c r="AE17" s="4" t="n">
        <v>10</v>
      </c>
      <c r="AF17" s="3" t="s">
        <v>147</v>
      </c>
      <c r="AG17" s="3" t="s">
        <v>147</v>
      </c>
    </row>
    <row r="18" s="1" customFormat="true" ht="15" hidden="true" customHeight="false" outlineLevel="0" collapsed="false">
      <c r="A18" s="1" t="s">
        <v>119</v>
      </c>
      <c r="B18" s="1" t="s">
        <v>148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149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150</v>
      </c>
      <c r="S18" s="1" t="s">
        <v>53</v>
      </c>
      <c r="T18" s="1" t="s">
        <v>75</v>
      </c>
      <c r="V18" s="1" t="s">
        <v>151</v>
      </c>
      <c r="W18" s="1" t="s">
        <v>152</v>
      </c>
      <c r="X18" s="1" t="s">
        <v>41</v>
      </c>
      <c r="Y18" s="1" t="n">
        <v>36.7</v>
      </c>
      <c r="Z18" s="5" t="s">
        <v>153</v>
      </c>
      <c r="AA18" s="1" t="n">
        <v>13</v>
      </c>
      <c r="AB18" s="1" t="n">
        <v>3.2</v>
      </c>
      <c r="AC18" s="1" t="n">
        <v>6</v>
      </c>
      <c r="AD18" s="1" t="n">
        <v>10</v>
      </c>
      <c r="AE18" s="1" t="n">
        <v>24</v>
      </c>
      <c r="AF18" s="1" t="n">
        <v>-8</v>
      </c>
      <c r="AG18" s="1" t="n">
        <v>16401</v>
      </c>
    </row>
    <row r="19" s="1" customFormat="true" ht="15" hidden="true" customHeight="false" outlineLevel="0" collapsed="false">
      <c r="A19" s="4" t="s">
        <v>119</v>
      </c>
      <c r="B19" s="4" t="s">
        <v>154</v>
      </c>
      <c r="C19" s="4" t="n">
        <v>4.4</v>
      </c>
      <c r="D19" s="4" t="n">
        <v>1900</v>
      </c>
      <c r="E19" s="4" t="n">
        <v>22</v>
      </c>
      <c r="F19" s="4" t="n">
        <f aca="false">ROUND((C19-AVERAGE(C2:C218))/AVERAGE(C2:C218) * 100,0)</f>
        <v>19</v>
      </c>
      <c r="G19" s="4" t="s">
        <v>155</v>
      </c>
      <c r="H19" s="4" t="n">
        <v>4.4</v>
      </c>
      <c r="I19" s="4" t="n">
        <v>4.3</v>
      </c>
      <c r="J19" s="4" t="n">
        <v>4.4</v>
      </c>
      <c r="K19" s="4" t="n">
        <v>4.3</v>
      </c>
      <c r="L19" s="4" t="n">
        <v>4.3</v>
      </c>
      <c r="M19" s="4" t="n">
        <v>4.2</v>
      </c>
      <c r="N19" s="4" t="n">
        <v>4.1</v>
      </c>
      <c r="O19" s="4" t="n">
        <v>1998</v>
      </c>
      <c r="P19" s="4" t="n">
        <v>50000</v>
      </c>
      <c r="Q19" s="4" t="n">
        <v>190820</v>
      </c>
      <c r="R19" s="4" t="s">
        <v>156</v>
      </c>
      <c r="S19" s="4" t="s">
        <v>157</v>
      </c>
      <c r="T19" s="4"/>
      <c r="U19" s="4"/>
      <c r="V19" s="4" t="s">
        <v>158</v>
      </c>
      <c r="W19" s="4" t="s">
        <v>159</v>
      </c>
      <c r="X19" s="4" t="s">
        <v>41</v>
      </c>
      <c r="Y19" s="4" t="n">
        <v>60.2</v>
      </c>
      <c r="Z19" s="4" t="s">
        <v>160</v>
      </c>
      <c r="AA19" s="4" t="n">
        <v>13</v>
      </c>
      <c r="AB19" s="4" t="n">
        <v>5</v>
      </c>
      <c r="AC19" s="4" t="n">
        <v>5</v>
      </c>
      <c r="AD19" s="4" t="n">
        <v>7</v>
      </c>
      <c r="AE19" s="4" t="n">
        <v>11</v>
      </c>
      <c r="AF19" s="3" t="n">
        <v>9</v>
      </c>
      <c r="AG19" s="3" t="n">
        <v>14151</v>
      </c>
    </row>
    <row r="20" s="1" customFormat="true" ht="15" hidden="true" customHeight="false" outlineLevel="0" collapsed="false">
      <c r="A20" s="1" t="s">
        <v>119</v>
      </c>
      <c r="B20" s="1" t="s">
        <v>161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162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163</v>
      </c>
      <c r="S20" s="1" t="s">
        <v>68</v>
      </c>
      <c r="V20" s="1" t="s">
        <v>164</v>
      </c>
      <c r="W20" s="1" t="s">
        <v>165</v>
      </c>
      <c r="X20" s="1" t="s">
        <v>41</v>
      </c>
      <c r="Y20" s="1" t="n">
        <v>66</v>
      </c>
      <c r="Z20" s="5" t="s">
        <v>166</v>
      </c>
      <c r="AA20" s="1" t="n">
        <v>13</v>
      </c>
      <c r="AB20" s="1" t="n">
        <v>3.8</v>
      </c>
      <c r="AC20" s="1" t="n">
        <v>5</v>
      </c>
      <c r="AD20" s="1" t="n">
        <v>6</v>
      </c>
      <c r="AE20" s="1" t="n">
        <v>13</v>
      </c>
      <c r="AF20" s="1" t="n">
        <v>-1</v>
      </c>
      <c r="AG20" s="1" t="n">
        <v>68401</v>
      </c>
    </row>
    <row r="21" s="1" customFormat="true" ht="15" hidden="true" customHeight="false" outlineLevel="0" collapsed="false">
      <c r="A21" s="4" t="s">
        <v>167</v>
      </c>
      <c r="B21" s="4" t="s">
        <v>168</v>
      </c>
      <c r="C21" s="4" t="n">
        <v>3.6</v>
      </c>
      <c r="D21" s="4" t="n">
        <v>19</v>
      </c>
      <c r="E21" s="4" t="n">
        <v>0</v>
      </c>
      <c r="F21" s="4" t="n">
        <f aca="false">ROUND((C21-AVERAGE(C2:C220))/AVERAGE(C2:C220) * 100,0)</f>
        <v>-2</v>
      </c>
      <c r="G21" s="4" t="s">
        <v>169</v>
      </c>
      <c r="H21" s="4" t="n">
        <v>3.9</v>
      </c>
      <c r="I21" s="4" t="n">
        <v>3.8</v>
      </c>
      <c r="J21" s="4" t="n">
        <v>3.8</v>
      </c>
      <c r="K21" s="4" t="n">
        <v>3.4</v>
      </c>
      <c r="L21" s="4" t="n">
        <v>3.1</v>
      </c>
      <c r="M21" s="4" t="n">
        <v>2.7</v>
      </c>
      <c r="N21" s="4" t="n">
        <v>2.6</v>
      </c>
      <c r="O21" s="4" t="n">
        <v>2002</v>
      </c>
      <c r="P21" s="4" t="n">
        <v>150</v>
      </c>
      <c r="Q21" s="4" t="n">
        <v>4800</v>
      </c>
      <c r="R21" s="4" t="s">
        <v>170</v>
      </c>
      <c r="S21" s="4" t="s">
        <v>157</v>
      </c>
      <c r="T21" s="4"/>
      <c r="U21" s="4"/>
      <c r="V21" s="4" t="s">
        <v>171</v>
      </c>
      <c r="W21" s="4" t="s">
        <v>172</v>
      </c>
      <c r="X21" s="4" t="s">
        <v>173</v>
      </c>
      <c r="Y21" s="4" t="n">
        <v>77.4</v>
      </c>
      <c r="Z21" s="4" t="s">
        <v>174</v>
      </c>
      <c r="AA21" s="4" t="n">
        <v>13</v>
      </c>
      <c r="AB21" s="4" t="n">
        <v>2.8</v>
      </c>
      <c r="AC21" s="4" t="n">
        <v>1</v>
      </c>
      <c r="AD21" s="4" t="n">
        <v>1</v>
      </c>
      <c r="AE21" s="4" t="n">
        <v>15</v>
      </c>
      <c r="AF21" s="3" t="n">
        <v>-3</v>
      </c>
      <c r="AG21" s="3" t="n">
        <v>450</v>
      </c>
    </row>
    <row r="22" s="1" customFormat="true" ht="15" hidden="true" customHeight="false" outlineLevel="0" collapsed="false">
      <c r="A22" s="1" t="s">
        <v>167</v>
      </c>
      <c r="B22" s="1" t="s">
        <v>175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176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177</v>
      </c>
      <c r="S22" s="1" t="s">
        <v>178</v>
      </c>
      <c r="V22" s="1" t="s">
        <v>179</v>
      </c>
      <c r="W22" s="1" t="s">
        <v>180</v>
      </c>
      <c r="X22" s="1" t="s">
        <v>41</v>
      </c>
      <c r="Y22" s="1" t="n">
        <v>31.1</v>
      </c>
      <c r="Z22" s="5" t="s">
        <v>181</v>
      </c>
      <c r="AA22" s="1" t="n">
        <v>13</v>
      </c>
      <c r="AB22" s="1" t="n">
        <v>3.3</v>
      </c>
      <c r="AC22" s="1" t="n">
        <v>5</v>
      </c>
      <c r="AD22" s="1" t="n">
        <v>14</v>
      </c>
      <c r="AE22" s="1" t="n">
        <v>32</v>
      </c>
      <c r="AF22" s="1" t="n">
        <v>-32</v>
      </c>
      <c r="AG22" s="1" t="n">
        <v>5304</v>
      </c>
    </row>
    <row r="23" s="1" customFormat="true" ht="15" hidden="true" customHeight="false" outlineLevel="0" collapsed="false">
      <c r="A23" s="4" t="s">
        <v>182</v>
      </c>
      <c r="B23" s="4" t="s">
        <v>183</v>
      </c>
      <c r="C23" s="4" t="n">
        <v>3.3</v>
      </c>
      <c r="D23" s="4" t="n">
        <v>108</v>
      </c>
      <c r="E23" s="4" t="n">
        <v>-11</v>
      </c>
      <c r="F23" s="4" t="n">
        <f aca="false">ROUND((C23-AVERAGE(C2:C222))/AVERAGE(C2:C222) * 100,0)</f>
        <v>-11</v>
      </c>
      <c r="G23" s="4" t="s">
        <v>184</v>
      </c>
      <c r="H23" s="4" t="n">
        <v>3.3</v>
      </c>
      <c r="I23" s="4" t="n">
        <v>3</v>
      </c>
      <c r="J23" s="4" t="n">
        <v>3.7</v>
      </c>
      <c r="K23" s="4" t="n">
        <v>3.1</v>
      </c>
      <c r="L23" s="4" t="n">
        <v>3.2</v>
      </c>
      <c r="M23" s="4" t="n">
        <v>3.3</v>
      </c>
      <c r="N23" s="4" t="n">
        <v>2.6</v>
      </c>
      <c r="O23" s="4" t="n">
        <v>1901</v>
      </c>
      <c r="P23" s="4" t="n">
        <v>4000</v>
      </c>
      <c r="Q23" s="4" t="n">
        <v>67000</v>
      </c>
      <c r="R23" s="4" t="s">
        <v>185</v>
      </c>
      <c r="S23" s="4" t="s">
        <v>186</v>
      </c>
      <c r="T23" s="4"/>
      <c r="U23" s="4"/>
      <c r="V23" s="4" t="s">
        <v>187</v>
      </c>
      <c r="W23" s="4" t="s">
        <v>188</v>
      </c>
      <c r="X23" s="4" t="s">
        <v>41</v>
      </c>
      <c r="Y23" s="4" t="n">
        <v>23.8</v>
      </c>
      <c r="Z23" s="4" t="s">
        <v>189</v>
      </c>
      <c r="AA23" s="4" t="n">
        <v>13</v>
      </c>
      <c r="AB23" s="4" t="n">
        <v>1.8</v>
      </c>
      <c r="AC23" s="4" t="n">
        <v>5</v>
      </c>
      <c r="AD23" s="4" t="n">
        <v>24</v>
      </c>
      <c r="AE23" s="4" t="n">
        <v>65</v>
      </c>
      <c r="AF23" s="3" t="n">
        <v>-41</v>
      </c>
      <c r="AG23" s="3" t="n">
        <v>290</v>
      </c>
    </row>
    <row r="24" s="1" customFormat="true" ht="15" hidden="false" customHeight="false" outlineLevel="0" collapsed="false">
      <c r="A24" s="1" t="s">
        <v>182</v>
      </c>
      <c r="B24" s="1" t="s">
        <v>190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191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192</v>
      </c>
      <c r="S24" s="1" t="s">
        <v>193</v>
      </c>
      <c r="V24" s="1" t="s">
        <v>194</v>
      </c>
      <c r="W24" s="1" t="s">
        <v>195</v>
      </c>
      <c r="X24" s="1" t="s">
        <v>41</v>
      </c>
      <c r="Y24" s="1" t="n">
        <v>33.5</v>
      </c>
      <c r="Z24" s="5" t="s">
        <v>196</v>
      </c>
      <c r="AA24" s="1" t="n">
        <v>13</v>
      </c>
      <c r="AB24" s="1" t="n">
        <v>1.3</v>
      </c>
      <c r="AC24" s="1" t="n">
        <v>5</v>
      </c>
      <c r="AD24" s="1" t="n">
        <v>22</v>
      </c>
      <c r="AE24" s="1" t="n">
        <v>64</v>
      </c>
      <c r="AF24" s="1" t="n">
        <v>-35</v>
      </c>
      <c r="AG24" s="1" t="n">
        <v>219</v>
      </c>
    </row>
    <row r="25" s="1" customFormat="true" ht="15" hidden="true" customHeight="false" outlineLevel="0" collapsed="false">
      <c r="A25" s="4" t="s">
        <v>182</v>
      </c>
      <c r="B25" s="4" t="s">
        <v>197</v>
      </c>
      <c r="C25" s="4" t="n">
        <v>3.3</v>
      </c>
      <c r="D25" s="4" t="n">
        <v>729</v>
      </c>
      <c r="E25" s="4" t="n">
        <v>-8</v>
      </c>
      <c r="F25" s="4" t="n">
        <f aca="false">ROUND((C25-AVERAGE(C2:C224))/AVERAGE(C2:C224) * 100,0)</f>
        <v>-11</v>
      </c>
      <c r="G25" s="4" t="s">
        <v>198</v>
      </c>
      <c r="H25" s="4" t="n">
        <v>3.4</v>
      </c>
      <c r="I25" s="4" t="n">
        <v>3.2</v>
      </c>
      <c r="J25" s="4" t="n">
        <v>2.9</v>
      </c>
      <c r="K25" s="4" t="n">
        <v>3.1</v>
      </c>
      <c r="L25" s="4" t="n">
        <v>3.6</v>
      </c>
      <c r="M25" s="4" t="n">
        <v>3.4</v>
      </c>
      <c r="N25" s="4" t="n">
        <v>2.8</v>
      </c>
      <c r="O25" s="4" t="n">
        <v>2013</v>
      </c>
      <c r="P25" s="4" t="n">
        <v>5000</v>
      </c>
      <c r="Q25" s="4" t="n">
        <v>5000</v>
      </c>
      <c r="R25" s="4" t="s">
        <v>199</v>
      </c>
      <c r="S25" s="4" t="s">
        <v>46</v>
      </c>
      <c r="T25" s="4"/>
      <c r="U25" s="4"/>
      <c r="V25" s="4" t="s">
        <v>200</v>
      </c>
      <c r="W25" s="4" t="s">
        <v>201</v>
      </c>
      <c r="X25" s="4" t="s">
        <v>41</v>
      </c>
      <c r="Y25" s="4" t="n">
        <v>40.9</v>
      </c>
      <c r="Z25" s="4" t="s">
        <v>202</v>
      </c>
      <c r="AA25" s="4" t="n">
        <v>13</v>
      </c>
      <c r="AB25" s="4" t="n">
        <v>1.8</v>
      </c>
      <c r="AC25" s="4" t="n">
        <v>11</v>
      </c>
      <c r="AD25" s="4" t="n">
        <v>23</v>
      </c>
      <c r="AE25" s="4" t="n">
        <v>73</v>
      </c>
      <c r="AF25" s="3" t="n">
        <v>86</v>
      </c>
      <c r="AG25" s="3" t="n">
        <v>743</v>
      </c>
    </row>
    <row r="26" s="1" customFormat="true" ht="15" hidden="true" customHeight="false" outlineLevel="0" collapsed="false">
      <c r="A26" s="1" t="s">
        <v>203</v>
      </c>
      <c r="B26" s="1" t="s">
        <v>204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205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206</v>
      </c>
      <c r="S26" s="1" t="s">
        <v>46</v>
      </c>
      <c r="V26" s="1" t="s">
        <v>207</v>
      </c>
      <c r="W26" s="1" t="s">
        <v>208</v>
      </c>
      <c r="X26" s="1" t="s">
        <v>41</v>
      </c>
      <c r="Y26" s="1" t="n">
        <v>27.4</v>
      </c>
      <c r="Z26" s="5" t="s">
        <v>209</v>
      </c>
      <c r="AA26" s="1" t="n">
        <v>13</v>
      </c>
      <c r="AB26" s="1" t="n">
        <v>3.9</v>
      </c>
      <c r="AC26" s="1" t="n">
        <v>2</v>
      </c>
      <c r="AD26" s="1" t="n">
        <v>4</v>
      </c>
      <c r="AE26" s="1" t="n">
        <v>12</v>
      </c>
      <c r="AF26" s="1" t="n">
        <v>-13</v>
      </c>
      <c r="AG26" s="1" t="n">
        <v>20880</v>
      </c>
    </row>
    <row r="27" s="1" customFormat="true" ht="15" hidden="true" customHeight="false" outlineLevel="0" collapsed="false">
      <c r="A27" s="4" t="s">
        <v>203</v>
      </c>
      <c r="B27" s="4" t="s">
        <v>210</v>
      </c>
      <c r="C27" s="4" t="n">
        <v>4.6</v>
      </c>
      <c r="D27" s="4" t="n">
        <v>28</v>
      </c>
      <c r="E27" s="4" t="n">
        <v>31</v>
      </c>
      <c r="F27" s="4" t="n">
        <f aca="false">ROUND((C27-AVERAGE(C2:C226))/AVERAGE(C2:C226) * 100,0)</f>
        <v>25</v>
      </c>
      <c r="G27" s="4" t="s">
        <v>211</v>
      </c>
      <c r="H27" s="4" t="n">
        <v>4.6</v>
      </c>
      <c r="I27" s="4" t="n">
        <v>4.3</v>
      </c>
      <c r="J27" s="4" t="n">
        <v>4.6</v>
      </c>
      <c r="K27" s="4" t="n">
        <v>4.5</v>
      </c>
      <c r="L27" s="4" t="n">
        <v>4.3</v>
      </c>
      <c r="M27" s="4" t="n">
        <v>3.9</v>
      </c>
      <c r="N27" s="4" t="n">
        <v>3.8</v>
      </c>
      <c r="O27" s="4" t="n">
        <v>1832</v>
      </c>
      <c r="P27" s="4" t="n">
        <v>1000</v>
      </c>
      <c r="Q27" s="4" t="n">
        <v>4300</v>
      </c>
      <c r="R27" s="4" t="s">
        <v>212</v>
      </c>
      <c r="S27" s="4" t="s">
        <v>213</v>
      </c>
      <c r="T27" s="4"/>
      <c r="U27" s="4"/>
      <c r="V27" s="4" t="s">
        <v>214</v>
      </c>
      <c r="W27" s="4" t="s">
        <v>215</v>
      </c>
      <c r="X27" s="4" t="s">
        <v>216</v>
      </c>
      <c r="Y27" s="4" t="n">
        <v>37.5</v>
      </c>
      <c r="Z27" s="4" t="s">
        <v>217</v>
      </c>
      <c r="AA27" s="4" t="n">
        <v>13</v>
      </c>
      <c r="AB27" s="4" t="n">
        <v>2.4</v>
      </c>
      <c r="AC27" s="4" t="n">
        <v>5</v>
      </c>
      <c r="AD27" s="4" t="n">
        <v>16</v>
      </c>
      <c r="AE27" s="4" t="n">
        <v>52</v>
      </c>
      <c r="AF27" s="3" t="s">
        <v>147</v>
      </c>
      <c r="AG27" s="3" t="s">
        <v>147</v>
      </c>
    </row>
    <row r="28" s="1" customFormat="true" ht="15" hidden="true" customHeight="false" outlineLevel="0" collapsed="false">
      <c r="A28" s="1" t="s">
        <v>203</v>
      </c>
      <c r="B28" s="1" t="s">
        <v>218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219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220</v>
      </c>
      <c r="S28" s="1" t="s">
        <v>213</v>
      </c>
      <c r="V28" s="1" t="s">
        <v>221</v>
      </c>
      <c r="W28" s="1" t="s">
        <v>222</v>
      </c>
      <c r="X28" s="1" t="s">
        <v>41</v>
      </c>
      <c r="Y28" s="1" t="n">
        <v>36.9</v>
      </c>
      <c r="Z28" s="5" t="s">
        <v>223</v>
      </c>
      <c r="AA28" s="1" t="n">
        <v>13</v>
      </c>
      <c r="AB28" s="1" t="n">
        <v>4.8</v>
      </c>
      <c r="AC28" s="1" t="n">
        <v>-3</v>
      </c>
      <c r="AD28" s="1" t="n">
        <v>-8</v>
      </c>
      <c r="AE28" s="1" t="n">
        <v>-25</v>
      </c>
      <c r="AF28" s="5" t="s">
        <v>147</v>
      </c>
      <c r="AG28" s="5" t="s">
        <v>147</v>
      </c>
    </row>
    <row r="29" s="1" customFormat="true" ht="15" hidden="true" customHeight="false" outlineLevel="0" collapsed="false">
      <c r="A29" s="4" t="s">
        <v>203</v>
      </c>
      <c r="B29" s="4" t="s">
        <v>224</v>
      </c>
      <c r="C29" s="4" t="n">
        <v>4.5</v>
      </c>
      <c r="D29" s="4" t="n">
        <v>7</v>
      </c>
      <c r="E29" s="4" t="n">
        <v>29</v>
      </c>
      <c r="F29" s="4" t="n">
        <f aca="false">ROUND((C29-AVERAGE(C2:C228))/AVERAGE(C2:C228) * 100,0)</f>
        <v>22</v>
      </c>
      <c r="G29" s="4" t="s">
        <v>225</v>
      </c>
      <c r="H29" s="4" t="n">
        <v>4.5</v>
      </c>
      <c r="I29" s="4" t="n">
        <v>4.3</v>
      </c>
      <c r="J29" s="4" t="n">
        <v>4.8</v>
      </c>
      <c r="K29" s="4" t="n">
        <v>4.5</v>
      </c>
      <c r="L29" s="4" t="n">
        <v>3.4</v>
      </c>
      <c r="M29" s="4" t="n">
        <v>2.2</v>
      </c>
      <c r="N29" s="4" t="n">
        <v>3.4</v>
      </c>
      <c r="O29" s="4" t="n">
        <v>2008</v>
      </c>
      <c r="P29" s="4" t="n">
        <v>50</v>
      </c>
      <c r="Q29" s="4" t="n">
        <v>200</v>
      </c>
      <c r="R29" s="4" t="s">
        <v>226</v>
      </c>
      <c r="S29" s="4" t="s">
        <v>213</v>
      </c>
      <c r="T29" s="4"/>
      <c r="U29" s="4"/>
      <c r="V29" s="4" t="s">
        <v>227</v>
      </c>
      <c r="W29" s="4" t="s">
        <v>228</v>
      </c>
      <c r="X29" s="4" t="s">
        <v>229</v>
      </c>
      <c r="Y29" s="4" t="n">
        <v>25.8</v>
      </c>
      <c r="Z29" s="4" t="s">
        <v>230</v>
      </c>
      <c r="AA29" s="4" t="n">
        <v>13</v>
      </c>
      <c r="AB29" s="4" t="n">
        <v>2.8</v>
      </c>
      <c r="AC29" s="4" t="n">
        <v>9</v>
      </c>
      <c r="AD29" s="4" t="n">
        <v>17</v>
      </c>
      <c r="AE29" s="4" t="n">
        <v>44</v>
      </c>
      <c r="AF29" s="3" t="n">
        <v>0</v>
      </c>
      <c r="AG29" s="3" t="n">
        <v>272</v>
      </c>
    </row>
    <row r="30" s="1" customFormat="true" ht="15" hidden="true" customHeight="false" outlineLevel="0" collapsed="false">
      <c r="A30" s="1" t="s">
        <v>231</v>
      </c>
      <c r="B30" s="1" t="s">
        <v>232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233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234</v>
      </c>
      <c r="S30" s="1" t="s">
        <v>46</v>
      </c>
      <c r="V30" s="1" t="s">
        <v>235</v>
      </c>
      <c r="W30" s="1" t="s">
        <v>85</v>
      </c>
      <c r="X30" s="1" t="s">
        <v>41</v>
      </c>
      <c r="Y30" s="1" t="n">
        <v>39</v>
      </c>
      <c r="Z30" s="5" t="s">
        <v>236</v>
      </c>
      <c r="AA30" s="1" t="n">
        <v>13</v>
      </c>
      <c r="AB30" s="1" t="n">
        <v>2.9</v>
      </c>
      <c r="AC30" s="1" t="n">
        <v>0</v>
      </c>
      <c r="AD30" s="1" t="n">
        <v>0</v>
      </c>
      <c r="AE30" s="1" t="n">
        <v>13</v>
      </c>
      <c r="AF30" s="1" t="n">
        <v>72</v>
      </c>
      <c r="AG30" s="1" t="n">
        <v>188</v>
      </c>
    </row>
    <row r="31" s="1" customFormat="true" ht="15" hidden="true" customHeight="false" outlineLevel="0" collapsed="false">
      <c r="A31" s="4" t="s">
        <v>231</v>
      </c>
      <c r="B31" s="4" t="s">
        <v>237</v>
      </c>
      <c r="C31" s="4" t="n">
        <v>3.6</v>
      </c>
      <c r="D31" s="4" t="n">
        <v>517</v>
      </c>
      <c r="E31" s="4" t="n">
        <v>0</v>
      </c>
      <c r="F31" s="4" t="n">
        <f aca="false">ROUND((C31-AVERAGE(C2:C230))/AVERAGE(C2:C230) * 100,0)</f>
        <v>-2</v>
      </c>
      <c r="G31" s="4" t="s">
        <v>238</v>
      </c>
      <c r="H31" s="4" t="n">
        <v>3.6</v>
      </c>
      <c r="I31" s="4" t="n">
        <v>3.7</v>
      </c>
      <c r="J31" s="4" t="n">
        <v>3.3</v>
      </c>
      <c r="K31" s="4" t="n">
        <v>3.4</v>
      </c>
      <c r="L31" s="4" t="n">
        <v>3.5</v>
      </c>
      <c r="M31" s="4" t="n">
        <v>3.4</v>
      </c>
      <c r="N31" s="4" t="n">
        <v>2.9</v>
      </c>
      <c r="O31" s="4" t="n">
        <v>1963</v>
      </c>
      <c r="P31" s="4" t="n">
        <v>5000</v>
      </c>
      <c r="Q31" s="4" t="n">
        <v>50000</v>
      </c>
      <c r="R31" s="4" t="s">
        <v>239</v>
      </c>
      <c r="S31" s="4" t="s">
        <v>102</v>
      </c>
      <c r="T31" s="4"/>
      <c r="U31" s="4"/>
      <c r="V31" s="4" t="s">
        <v>240</v>
      </c>
      <c r="W31" s="4" t="s">
        <v>241</v>
      </c>
      <c r="X31" s="4" t="s">
        <v>41</v>
      </c>
      <c r="Y31" s="4" t="n">
        <v>73.7</v>
      </c>
      <c r="Z31" s="4" t="s">
        <v>242</v>
      </c>
      <c r="AA31" s="4" t="n">
        <v>13</v>
      </c>
      <c r="AB31" s="4" t="n">
        <v>3.5</v>
      </c>
      <c r="AC31" s="4" t="n">
        <v>4</v>
      </c>
      <c r="AD31" s="4" t="n">
        <v>4</v>
      </c>
      <c r="AE31" s="4" t="n">
        <v>7</v>
      </c>
      <c r="AF31" s="3" t="n">
        <v>24</v>
      </c>
      <c r="AG31" s="3" t="n">
        <v>5128</v>
      </c>
    </row>
    <row r="32" s="1" customFormat="true" ht="15" hidden="true" customHeight="false" outlineLevel="0" collapsed="false">
      <c r="A32" s="1" t="s">
        <v>231</v>
      </c>
      <c r="B32" s="1" t="s">
        <v>243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244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245</v>
      </c>
      <c r="S32" s="1" t="s">
        <v>53</v>
      </c>
      <c r="V32" s="1" t="s">
        <v>246</v>
      </c>
      <c r="W32" s="1" t="s">
        <v>247</v>
      </c>
      <c r="X32" s="1" t="s">
        <v>41</v>
      </c>
      <c r="Y32" s="1" t="n">
        <v>45.2</v>
      </c>
      <c r="Z32" s="5" t="s">
        <v>248</v>
      </c>
      <c r="AA32" s="1" t="n">
        <v>13</v>
      </c>
      <c r="AB32" s="1" t="n">
        <v>4.3</v>
      </c>
      <c r="AC32" s="1" t="n">
        <v>1</v>
      </c>
      <c r="AD32" s="1" t="n">
        <v>6</v>
      </c>
      <c r="AE32" s="1" t="n">
        <v>13</v>
      </c>
      <c r="AF32" s="1" t="n">
        <v>-5</v>
      </c>
      <c r="AG32" s="1" t="n">
        <v>2643</v>
      </c>
    </row>
    <row r="33" s="1" customFormat="true" ht="15" hidden="true" customHeight="false" outlineLevel="0" collapsed="false">
      <c r="A33" s="4" t="s">
        <v>231</v>
      </c>
      <c r="B33" s="4" t="s">
        <v>249</v>
      </c>
      <c r="C33" s="4" t="n">
        <v>3.6</v>
      </c>
      <c r="D33" s="4" t="n">
        <v>399</v>
      </c>
      <c r="E33" s="4" t="n">
        <v>0</v>
      </c>
      <c r="F33" s="4" t="n">
        <f aca="false">ROUND((C33-AVERAGE(C2:C232))/AVERAGE(C2:C232) * 100,0)</f>
        <v>-2</v>
      </c>
      <c r="G33" s="4" t="s">
        <v>250</v>
      </c>
      <c r="H33" s="4" t="n">
        <v>3.3</v>
      </c>
      <c r="I33" s="4" t="n">
        <v>3.6</v>
      </c>
      <c r="J33" s="4" t="n">
        <v>3.5</v>
      </c>
      <c r="K33" s="4" t="n">
        <v>3.2</v>
      </c>
      <c r="L33" s="4" t="n">
        <v>3.3</v>
      </c>
      <c r="M33" s="4" t="n">
        <v>3.3</v>
      </c>
      <c r="N33" s="4" t="n">
        <v>3.1</v>
      </c>
      <c r="O33" s="4" t="n">
        <v>1999</v>
      </c>
      <c r="P33" s="4" t="n">
        <v>5000</v>
      </c>
      <c r="Q33" s="4" t="n">
        <v>5000</v>
      </c>
      <c r="R33" s="4" t="s">
        <v>251</v>
      </c>
      <c r="S33" s="4" t="s">
        <v>252</v>
      </c>
      <c r="T33" s="4"/>
      <c r="U33" s="4"/>
      <c r="V33" s="4" t="s">
        <v>253</v>
      </c>
      <c r="W33" s="4" t="s">
        <v>254</v>
      </c>
      <c r="X33" s="4" t="s">
        <v>255</v>
      </c>
      <c r="Y33" s="4" t="n">
        <v>10.3</v>
      </c>
      <c r="Z33" s="4" t="s">
        <v>256</v>
      </c>
      <c r="AA33" s="4" t="n">
        <v>13</v>
      </c>
      <c r="AB33" s="4" t="n">
        <v>3.3</v>
      </c>
      <c r="AC33" s="4" t="n">
        <v>7</v>
      </c>
      <c r="AD33" s="4" t="n">
        <v>9</v>
      </c>
      <c r="AE33" s="4" t="n">
        <v>13</v>
      </c>
      <c r="AF33" s="3" t="n">
        <v>102</v>
      </c>
      <c r="AG33" s="3" t="n">
        <v>389</v>
      </c>
    </row>
    <row r="34" s="1" customFormat="true" ht="15" hidden="true" customHeight="false" outlineLevel="0" collapsed="false">
      <c r="A34" s="1" t="s">
        <v>231</v>
      </c>
      <c r="B34" s="1" t="s">
        <v>257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258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259</v>
      </c>
      <c r="S34" s="1" t="s">
        <v>46</v>
      </c>
      <c r="V34" s="1" t="s">
        <v>260</v>
      </c>
      <c r="W34" s="1" t="s">
        <v>261</v>
      </c>
      <c r="X34" s="1" t="s">
        <v>41</v>
      </c>
      <c r="Y34" s="1" t="n">
        <v>36</v>
      </c>
      <c r="Z34" s="5" t="s">
        <v>262</v>
      </c>
      <c r="AA34" s="1" t="n">
        <v>13</v>
      </c>
      <c r="AB34" s="1" t="n">
        <v>3</v>
      </c>
      <c r="AC34" s="1" t="n">
        <v>5</v>
      </c>
      <c r="AD34" s="1" t="n">
        <v>12</v>
      </c>
      <c r="AE34" s="1" t="n">
        <v>26</v>
      </c>
      <c r="AF34" s="1" t="n">
        <v>-18</v>
      </c>
      <c r="AG34" s="1" t="n">
        <v>5429</v>
      </c>
    </row>
    <row r="35" s="1" customFormat="true" ht="15" hidden="true" customHeight="false" outlineLevel="0" collapsed="false">
      <c r="A35" s="4" t="s">
        <v>263</v>
      </c>
      <c r="B35" s="4" t="s">
        <v>264</v>
      </c>
      <c r="C35" s="4" t="n">
        <v>4</v>
      </c>
      <c r="D35" s="4" t="n">
        <v>8100</v>
      </c>
      <c r="E35" s="4" t="n">
        <v>11</v>
      </c>
      <c r="F35" s="4" t="n">
        <f aca="false">ROUND((C35-AVERAGE(C2:C234))/AVERAGE(C2:C234) * 100,0)</f>
        <v>8</v>
      </c>
      <c r="G35" s="4" t="s">
        <v>265</v>
      </c>
      <c r="H35" s="4" t="n">
        <v>4</v>
      </c>
      <c r="I35" s="4" t="n">
        <v>3.5</v>
      </c>
      <c r="J35" s="4" t="n">
        <v>4.1</v>
      </c>
      <c r="K35" s="4" t="n">
        <v>3.8</v>
      </c>
      <c r="L35" s="4" t="n">
        <v>3.7</v>
      </c>
      <c r="M35" s="4" t="n">
        <v>4.2</v>
      </c>
      <c r="N35" s="4" t="n">
        <v>3.1</v>
      </c>
      <c r="O35" s="4" t="n">
        <v>2002</v>
      </c>
      <c r="P35" s="4" t="n">
        <v>50000</v>
      </c>
      <c r="Q35" s="4" t="n">
        <v>100000</v>
      </c>
      <c r="R35" s="4" t="s">
        <v>266</v>
      </c>
      <c r="S35" s="4" t="s">
        <v>46</v>
      </c>
      <c r="T35" s="4"/>
      <c r="U35" s="4"/>
      <c r="V35" s="4" t="s">
        <v>267</v>
      </c>
      <c r="W35" s="4" t="s">
        <v>268</v>
      </c>
      <c r="X35" s="4" t="s">
        <v>41</v>
      </c>
      <c r="Y35" s="4" t="n">
        <v>45.2</v>
      </c>
      <c r="Z35" s="4" t="s">
        <v>269</v>
      </c>
      <c r="AA35" s="4" t="n">
        <v>13</v>
      </c>
      <c r="AB35" s="4" t="n">
        <v>3.6</v>
      </c>
      <c r="AC35" s="4" t="n">
        <v>1</v>
      </c>
      <c r="AD35" s="4" t="n">
        <v>4</v>
      </c>
      <c r="AE35" s="4" t="n">
        <v>11</v>
      </c>
      <c r="AF35" s="3" t="n">
        <v>-2</v>
      </c>
      <c r="AG35" s="3" t="n">
        <v>6048</v>
      </c>
    </row>
    <row r="36" s="1" customFormat="true" ht="15" hidden="true" customHeight="false" outlineLevel="0" collapsed="false">
      <c r="A36" s="1" t="s">
        <v>270</v>
      </c>
      <c r="B36" s="1" t="s">
        <v>81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8</v>
      </c>
      <c r="G36" s="1" t="s">
        <v>82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83</v>
      </c>
      <c r="S36" s="1" t="s">
        <v>46</v>
      </c>
      <c r="V36" s="1" t="s">
        <v>84</v>
      </c>
      <c r="W36" s="1" t="s">
        <v>85</v>
      </c>
      <c r="X36" s="1" t="s">
        <v>41</v>
      </c>
      <c r="Y36" s="1" t="n">
        <v>31.4</v>
      </c>
      <c r="Z36" s="5" t="s">
        <v>86</v>
      </c>
      <c r="AA36" s="1" t="n">
        <v>13</v>
      </c>
      <c r="AB36" s="1" t="n">
        <v>2.9</v>
      </c>
      <c r="AC36" s="1" t="n">
        <v>9</v>
      </c>
      <c r="AD36" s="1" t="n">
        <v>21</v>
      </c>
      <c r="AE36" s="1" t="n">
        <v>44</v>
      </c>
      <c r="AF36" s="1" t="n">
        <v>103</v>
      </c>
      <c r="AG36" s="1" t="n">
        <v>279</v>
      </c>
    </row>
    <row r="37" s="1" customFormat="true" ht="15" hidden="true" customHeight="false" outlineLevel="0" collapsed="false">
      <c r="A37" s="4" t="s">
        <v>270</v>
      </c>
      <c r="B37" s="4" t="s">
        <v>34</v>
      </c>
      <c r="C37" s="4" t="n">
        <v>2.7</v>
      </c>
      <c r="D37" s="4" t="n">
        <v>802</v>
      </c>
      <c r="E37" s="4" t="n">
        <v>-25</v>
      </c>
      <c r="F37" s="4" t="n">
        <f aca="false">ROUND((C37-AVERAGE(C2:C235))/AVERAGE(C2:C235) * 100,0)</f>
        <v>-27</v>
      </c>
      <c r="G37" s="4" t="s">
        <v>35</v>
      </c>
      <c r="H37" s="4" t="n">
        <v>2.6</v>
      </c>
      <c r="I37" s="4" t="n">
        <v>2.9</v>
      </c>
      <c r="J37" s="4" t="n">
        <v>2.6</v>
      </c>
      <c r="K37" s="4" t="n">
        <v>2.5</v>
      </c>
      <c r="L37" s="4" t="n">
        <v>2.7</v>
      </c>
      <c r="M37" s="4" t="n">
        <v>2.9</v>
      </c>
      <c r="N37" s="4" t="n">
        <v>2.6</v>
      </c>
      <c r="O37" s="4" t="n">
        <v>2010</v>
      </c>
      <c r="P37" s="4" t="n">
        <v>3600</v>
      </c>
      <c r="Q37" s="4" t="n">
        <v>3600</v>
      </c>
      <c r="R37" s="4" t="s">
        <v>36</v>
      </c>
      <c r="S37" s="4" t="s">
        <v>37</v>
      </c>
      <c r="T37" s="4"/>
      <c r="U37" s="4" t="s">
        <v>38</v>
      </c>
      <c r="V37" s="4" t="s">
        <v>39</v>
      </c>
      <c r="W37" s="4" t="s">
        <v>40</v>
      </c>
      <c r="X37" s="4" t="s">
        <v>41</v>
      </c>
      <c r="Y37" s="4" t="n">
        <v>24.5</v>
      </c>
      <c r="Z37" s="4" t="s">
        <v>42</v>
      </c>
      <c r="AA37" s="4" t="n">
        <v>13</v>
      </c>
      <c r="AB37" s="4" t="n">
        <v>3.9</v>
      </c>
      <c r="AC37" s="4" t="n">
        <v>0</v>
      </c>
      <c r="AD37" s="4" t="n">
        <v>1</v>
      </c>
      <c r="AE37" s="4" t="n">
        <v>0</v>
      </c>
      <c r="AF37" s="3" t="n">
        <v>-65</v>
      </c>
      <c r="AG37" s="3" t="n">
        <v>275</v>
      </c>
    </row>
    <row r="38" s="1" customFormat="true" ht="16.4" hidden="true" customHeight="false" outlineLevel="0" collapsed="false">
      <c r="A38" s="1" t="s">
        <v>270</v>
      </c>
      <c r="B38" s="1" t="s">
        <v>43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44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45</v>
      </c>
      <c r="S38" s="1" t="s">
        <v>46</v>
      </c>
      <c r="V38" s="1" t="s">
        <v>47</v>
      </c>
      <c r="W38" s="1" t="s">
        <v>48</v>
      </c>
      <c r="X38" s="1" t="s">
        <v>41</v>
      </c>
      <c r="Y38" s="1" t="n">
        <v>24.3</v>
      </c>
      <c r="Z38" s="5" t="s">
        <v>49</v>
      </c>
      <c r="AA38" s="1" t="n">
        <v>13</v>
      </c>
      <c r="AB38" s="1" t="n">
        <v>4.2</v>
      </c>
      <c r="AC38" s="1" t="n">
        <v>0</v>
      </c>
      <c r="AD38" s="1" t="n">
        <v>5</v>
      </c>
      <c r="AE38" s="1" t="n">
        <v>14</v>
      </c>
      <c r="AF38" s="1" t="n">
        <v>-30</v>
      </c>
      <c r="AG38" s="1" t="n">
        <v>18644</v>
      </c>
    </row>
    <row r="39" s="1" customFormat="true" ht="15" hidden="true" customHeight="false" outlineLevel="0" collapsed="false">
      <c r="A39" s="4" t="s">
        <v>270</v>
      </c>
      <c r="B39" s="4" t="s">
        <v>271</v>
      </c>
      <c r="C39" s="4" t="n">
        <v>3.5</v>
      </c>
      <c r="D39" s="4" t="n">
        <v>1500</v>
      </c>
      <c r="E39" s="4" t="n">
        <v>-3</v>
      </c>
      <c r="F39" s="4" t="n">
        <f aca="false">ROUND((C39-AVERAGE(C2:C237))/AVERAGE(C2:C237) * 100,0)</f>
        <v>-5</v>
      </c>
      <c r="G39" s="4" t="s">
        <v>272</v>
      </c>
      <c r="H39" s="4" t="n">
        <v>3.5</v>
      </c>
      <c r="I39" s="4" t="n">
        <v>3.7</v>
      </c>
      <c r="J39" s="4" t="n">
        <v>3.6</v>
      </c>
      <c r="K39" s="4" t="n">
        <v>3.3</v>
      </c>
      <c r="L39" s="4" t="n">
        <v>3.5</v>
      </c>
      <c r="M39" s="4" t="n">
        <v>3</v>
      </c>
      <c r="N39" s="4" t="n">
        <v>3</v>
      </c>
      <c r="O39" s="4" t="n">
        <v>2012</v>
      </c>
      <c r="P39" s="4" t="n">
        <v>5000</v>
      </c>
      <c r="Q39" s="4" t="n">
        <v>10000</v>
      </c>
      <c r="R39" s="4" t="s">
        <v>273</v>
      </c>
      <c r="S39" s="4" t="s">
        <v>46</v>
      </c>
      <c r="T39" s="4"/>
      <c r="U39" s="4" t="s">
        <v>274</v>
      </c>
      <c r="V39" s="4" t="s">
        <v>275</v>
      </c>
      <c r="W39" s="4" t="s">
        <v>276</v>
      </c>
      <c r="X39" s="4" t="s">
        <v>41</v>
      </c>
      <c r="Y39" s="4" t="n">
        <v>22.4</v>
      </c>
      <c r="Z39" s="4" t="s">
        <v>277</v>
      </c>
      <c r="AA39" s="4" t="n">
        <v>13</v>
      </c>
      <c r="AB39" s="4" t="n">
        <v>2.8</v>
      </c>
      <c r="AC39" s="4" t="n">
        <v>3</v>
      </c>
      <c r="AD39" s="4" t="n">
        <v>6</v>
      </c>
      <c r="AE39" s="4" t="n">
        <v>20</v>
      </c>
      <c r="AF39" s="3" t="n">
        <v>45</v>
      </c>
      <c r="AG39" s="3" t="n">
        <v>713</v>
      </c>
    </row>
    <row r="40" s="1" customFormat="true" ht="15" hidden="true" customHeight="false" outlineLevel="0" collapsed="false">
      <c r="A40" s="1" t="s">
        <v>270</v>
      </c>
      <c r="B40" s="1" t="s">
        <v>278</v>
      </c>
      <c r="C40" s="1" t="s">
        <v>147</v>
      </c>
      <c r="D40" s="1" t="s">
        <v>147</v>
      </c>
      <c r="E40" s="1" t="s">
        <v>147</v>
      </c>
      <c r="F40" s="1" t="s">
        <v>147</v>
      </c>
      <c r="G40" s="1" t="s">
        <v>279</v>
      </c>
      <c r="H40" s="1" t="s">
        <v>147</v>
      </c>
      <c r="I40" s="1" t="s">
        <v>147</v>
      </c>
      <c r="J40" s="1" t="s">
        <v>147</v>
      </c>
      <c r="K40" s="1" t="s">
        <v>147</v>
      </c>
      <c r="L40" s="1" t="s">
        <v>147</v>
      </c>
      <c r="M40" s="1" t="s">
        <v>147</v>
      </c>
      <c r="N40" s="1" t="s">
        <v>147</v>
      </c>
      <c r="O40" s="1" t="n">
        <v>2017</v>
      </c>
      <c r="P40" s="1" t="s">
        <v>147</v>
      </c>
      <c r="Q40" s="1" t="n">
        <v>50</v>
      </c>
      <c r="R40" s="1" t="s">
        <v>280</v>
      </c>
      <c r="S40" s="1" t="s">
        <v>213</v>
      </c>
      <c r="U40" s="5" t="s">
        <v>281</v>
      </c>
      <c r="V40" s="1" t="s">
        <v>282</v>
      </c>
      <c r="W40" s="1" t="s">
        <v>283</v>
      </c>
      <c r="X40" s="1" t="s">
        <v>147</v>
      </c>
      <c r="Y40" s="1" t="s">
        <v>147</v>
      </c>
      <c r="Z40" s="1" t="s">
        <v>147</v>
      </c>
      <c r="AA40" s="1" t="n">
        <v>13</v>
      </c>
      <c r="AB40" s="1" t="n">
        <v>1.8</v>
      </c>
      <c r="AC40" s="1" t="n">
        <v>21</v>
      </c>
      <c r="AD40" s="1" t="n">
        <v>36</v>
      </c>
      <c r="AE40" s="1" t="n">
        <v>81</v>
      </c>
      <c r="AF40" s="1" t="n">
        <v>293</v>
      </c>
      <c r="AG40" s="1" t="n">
        <v>148</v>
      </c>
    </row>
    <row r="41" s="1" customFormat="true" ht="16.4" hidden="true" customHeight="false" outlineLevel="0" collapsed="false">
      <c r="A41" s="4" t="s">
        <v>270</v>
      </c>
      <c r="B41" s="4" t="s">
        <v>50</v>
      </c>
      <c r="C41" s="4" t="n">
        <v>3.7</v>
      </c>
      <c r="D41" s="4" t="n">
        <v>74800</v>
      </c>
      <c r="E41" s="4" t="n">
        <v>3</v>
      </c>
      <c r="F41" s="4" t="n">
        <f aca="false">ROUND((C41-AVERAGE(C2:C239))/AVERAGE(C2:C239) * 100,0)</f>
        <v>0</v>
      </c>
      <c r="G41" s="4" t="s">
        <v>51</v>
      </c>
      <c r="H41" s="4" t="n">
        <v>3.7</v>
      </c>
      <c r="I41" s="4" t="n">
        <v>3.2</v>
      </c>
      <c r="J41" s="4" t="n">
        <v>3.6</v>
      </c>
      <c r="K41" s="4" t="n">
        <v>3.4</v>
      </c>
      <c r="L41" s="4" t="n">
        <v>3.6</v>
      </c>
      <c r="M41" s="4" t="n">
        <v>3.6</v>
      </c>
      <c r="N41" s="4" t="n">
        <v>2.8</v>
      </c>
      <c r="O41" s="4" t="n">
        <v>1989</v>
      </c>
      <c r="P41" s="4" t="n">
        <v>300000</v>
      </c>
      <c r="Q41" s="4" t="n">
        <v>799000</v>
      </c>
      <c r="R41" s="4" t="s">
        <v>52</v>
      </c>
      <c r="S41" s="4" t="s">
        <v>46</v>
      </c>
      <c r="T41" s="4" t="s">
        <v>53</v>
      </c>
      <c r="U41" s="4"/>
      <c r="V41" s="4" t="s">
        <v>54</v>
      </c>
      <c r="W41" s="4" t="s">
        <v>55</v>
      </c>
      <c r="X41" s="4" t="s">
        <v>56</v>
      </c>
      <c r="Y41" s="4" t="n">
        <v>26.9</v>
      </c>
      <c r="Z41" s="4" t="s">
        <v>57</v>
      </c>
      <c r="AA41" s="4" t="n">
        <v>13</v>
      </c>
      <c r="AB41" s="4" t="n">
        <v>4</v>
      </c>
      <c r="AC41" s="4" t="n">
        <v>3</v>
      </c>
      <c r="AD41" s="4" t="n">
        <v>6</v>
      </c>
      <c r="AE41" s="4" t="n">
        <v>12</v>
      </c>
      <c r="AF41" s="3" t="n">
        <v>-23</v>
      </c>
      <c r="AG41" s="3" t="n">
        <v>55714</v>
      </c>
    </row>
    <row r="42" s="1" customFormat="true" ht="16.4" hidden="true" customHeight="false" outlineLevel="0" collapsed="false">
      <c r="A42" s="1" t="s">
        <v>270</v>
      </c>
      <c r="B42" s="1" t="s">
        <v>58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0</v>
      </c>
      <c r="G42" s="1" t="s">
        <v>59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60</v>
      </c>
      <c r="S42" s="1" t="s">
        <v>46</v>
      </c>
      <c r="T42" s="1" t="s">
        <v>61</v>
      </c>
      <c r="V42" s="1" t="s">
        <v>62</v>
      </c>
      <c r="W42" s="1" t="s">
        <v>63</v>
      </c>
      <c r="X42" s="1" t="s">
        <v>41</v>
      </c>
      <c r="Y42" s="1" t="n">
        <v>28.3</v>
      </c>
      <c r="Z42" s="5" t="s">
        <v>64</v>
      </c>
      <c r="AA42" s="1" t="n">
        <v>13</v>
      </c>
      <c r="AB42" s="1" t="n">
        <v>4.3</v>
      </c>
      <c r="AC42" s="1" t="n">
        <v>1</v>
      </c>
      <c r="AD42" s="1" t="n">
        <v>3</v>
      </c>
      <c r="AE42" s="1" t="n">
        <v>9</v>
      </c>
      <c r="AF42" s="1" t="n">
        <v>-42</v>
      </c>
      <c r="AG42" s="1" t="n">
        <v>24573</v>
      </c>
    </row>
    <row r="43" s="1" customFormat="true" ht="15" hidden="true" customHeight="false" outlineLevel="0" collapsed="false">
      <c r="A43" s="4" t="s">
        <v>270</v>
      </c>
      <c r="B43" s="4" t="s">
        <v>94</v>
      </c>
      <c r="C43" s="4" t="n">
        <v>3.9</v>
      </c>
      <c r="D43" s="4" t="n">
        <v>26100</v>
      </c>
      <c r="E43" s="4" t="n">
        <v>8</v>
      </c>
      <c r="F43" s="4" t="n">
        <f aca="false">ROUND((C43-AVERAGE(C2:C241))/AVERAGE(C2:C241) * 100,0)</f>
        <v>6</v>
      </c>
      <c r="G43" s="4" t="s">
        <v>95</v>
      </c>
      <c r="H43" s="4" t="n">
        <v>3.9</v>
      </c>
      <c r="I43" s="4" t="n">
        <v>3.5</v>
      </c>
      <c r="J43" s="4" t="n">
        <v>4</v>
      </c>
      <c r="K43" s="4" t="n">
        <v>3.6</v>
      </c>
      <c r="L43" s="4" t="n">
        <v>3.9</v>
      </c>
      <c r="M43" s="4" t="n">
        <v>3.9</v>
      </c>
      <c r="N43" s="4" t="n">
        <v>3</v>
      </c>
      <c r="O43" s="4" t="n">
        <v>1911</v>
      </c>
      <c r="P43" s="4" t="n">
        <v>135000</v>
      </c>
      <c r="Q43" s="4" t="n">
        <v>268000</v>
      </c>
      <c r="R43" s="4" t="s">
        <v>90</v>
      </c>
      <c r="S43" s="4" t="s">
        <v>46</v>
      </c>
      <c r="T43" s="4" t="s">
        <v>75</v>
      </c>
      <c r="U43" s="4"/>
      <c r="V43" s="4" t="s">
        <v>91</v>
      </c>
      <c r="W43" s="4" t="s">
        <v>96</v>
      </c>
      <c r="X43" s="4" t="s">
        <v>41</v>
      </c>
      <c r="Y43" s="4" t="n">
        <v>35.2</v>
      </c>
      <c r="Z43" s="4" t="s">
        <v>97</v>
      </c>
      <c r="AA43" s="4" t="n">
        <v>13</v>
      </c>
      <c r="AB43" s="4" t="n">
        <v>5.7</v>
      </c>
      <c r="AC43" s="4" t="n">
        <v>8</v>
      </c>
      <c r="AD43" s="4" t="n">
        <v>9</v>
      </c>
      <c r="AE43" s="4" t="n">
        <v>10</v>
      </c>
      <c r="AF43" s="3" t="n">
        <v>65</v>
      </c>
      <c r="AG43" s="3" t="n">
        <v>37274</v>
      </c>
    </row>
    <row r="44" s="1" customFormat="true" ht="15" hidden="true" customHeight="false" outlineLevel="0" collapsed="false">
      <c r="A44" s="1" t="s">
        <v>270</v>
      </c>
      <c r="B44" s="1" t="s">
        <v>88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0</v>
      </c>
      <c r="G44" s="1" t="s">
        <v>89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90</v>
      </c>
      <c r="S44" s="1" t="s">
        <v>46</v>
      </c>
      <c r="V44" s="1" t="s">
        <v>91</v>
      </c>
      <c r="W44" s="1" t="s">
        <v>92</v>
      </c>
      <c r="X44" s="1" t="s">
        <v>41</v>
      </c>
      <c r="Y44" s="1" t="n">
        <v>47.3</v>
      </c>
      <c r="Z44" s="5" t="s">
        <v>93</v>
      </c>
      <c r="AA44" s="1" t="n">
        <v>13</v>
      </c>
      <c r="AB44" s="1" t="n">
        <v>5.7</v>
      </c>
      <c r="AC44" s="1" t="n">
        <v>8</v>
      </c>
      <c r="AD44" s="1" t="n">
        <v>9</v>
      </c>
      <c r="AE44" s="1" t="n">
        <v>10</v>
      </c>
      <c r="AF44" s="1" t="n">
        <v>65</v>
      </c>
      <c r="AG44" s="1" t="n">
        <v>37274</v>
      </c>
    </row>
    <row r="45" s="1" customFormat="true" ht="16.4" hidden="true" customHeight="false" outlineLevel="0" collapsed="false">
      <c r="A45" s="4" t="s">
        <v>284</v>
      </c>
      <c r="B45" s="4" t="s">
        <v>65</v>
      </c>
      <c r="C45" s="4" t="n">
        <v>3.9</v>
      </c>
      <c r="D45" s="4" t="n">
        <v>4800</v>
      </c>
      <c r="E45" s="4" t="n">
        <v>8</v>
      </c>
      <c r="F45" s="4" t="n">
        <f aca="false">ROUND((C45-AVERAGE(C41:C243))/AVERAGE(C41:C243) * 100,0)</f>
        <v>6</v>
      </c>
      <c r="G45" s="4" t="s">
        <v>66</v>
      </c>
      <c r="H45" s="4" t="n">
        <v>3.9</v>
      </c>
      <c r="I45" s="4" t="n">
        <v>3.7</v>
      </c>
      <c r="J45" s="4" t="n">
        <v>3.6</v>
      </c>
      <c r="K45" s="4" t="n">
        <v>3.6</v>
      </c>
      <c r="L45" s="4" t="n">
        <v>3.7</v>
      </c>
      <c r="M45" s="4" t="n">
        <v>3.6</v>
      </c>
      <c r="N45" s="4" t="n">
        <v>3.3</v>
      </c>
      <c r="O45" s="4" t="n">
        <v>1996</v>
      </c>
      <c r="P45" s="4" t="n">
        <v>13000</v>
      </c>
      <c r="Q45" s="4" t="n">
        <v>18500</v>
      </c>
      <c r="R45" s="4" t="s">
        <v>67</v>
      </c>
      <c r="S45" s="4" t="s">
        <v>46</v>
      </c>
      <c r="T45" s="4" t="s">
        <v>68</v>
      </c>
      <c r="U45" s="4"/>
      <c r="V45" s="4" t="s">
        <v>69</v>
      </c>
      <c r="W45" s="4" t="s">
        <v>70</v>
      </c>
      <c r="X45" s="4" t="s">
        <v>41</v>
      </c>
      <c r="Y45" s="4" t="n">
        <v>39.6</v>
      </c>
      <c r="Z45" s="4" t="s">
        <v>71</v>
      </c>
      <c r="AA45" s="4" t="n">
        <v>13</v>
      </c>
      <c r="AB45" s="4" t="n">
        <v>3.8</v>
      </c>
      <c r="AC45" s="4" t="n">
        <v>3</v>
      </c>
      <c r="AD45" s="4" t="n">
        <v>6</v>
      </c>
      <c r="AE45" s="4" t="n">
        <v>10</v>
      </c>
      <c r="AF45" s="3" t="n">
        <v>-44</v>
      </c>
      <c r="AG45" s="3" t="n">
        <v>1502</v>
      </c>
    </row>
    <row r="46" s="1" customFormat="true" ht="15" hidden="true" customHeight="false" outlineLevel="0" collapsed="false">
      <c r="A46" s="1" t="s">
        <v>284</v>
      </c>
      <c r="B46" s="1" t="s">
        <v>72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73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74</v>
      </c>
      <c r="S46" s="1" t="s">
        <v>75</v>
      </c>
      <c r="T46" s="1" t="s">
        <v>76</v>
      </c>
      <c r="V46" s="1" t="s">
        <v>77</v>
      </c>
      <c r="W46" s="1" t="s">
        <v>78</v>
      </c>
      <c r="X46" s="1" t="s">
        <v>41</v>
      </c>
      <c r="Y46" s="1" t="n">
        <v>49.8</v>
      </c>
      <c r="Z46" s="5" t="s">
        <v>79</v>
      </c>
      <c r="AA46" s="1" t="n">
        <v>13</v>
      </c>
      <c r="AB46" s="1" t="n">
        <v>4.3</v>
      </c>
      <c r="AC46" s="1" t="n">
        <v>14</v>
      </c>
      <c r="AD46" s="1" t="n">
        <v>20</v>
      </c>
      <c r="AE46" s="1" t="n">
        <v>28</v>
      </c>
      <c r="AF46" s="1" t="n">
        <v>-3</v>
      </c>
      <c r="AG46" s="1" t="n">
        <v>15847</v>
      </c>
    </row>
    <row r="47" s="1" customFormat="true" ht="15" hidden="true" customHeight="false" outlineLevel="0" collapsed="false">
      <c r="A47" s="4" t="s">
        <v>284</v>
      </c>
      <c r="B47" s="4" t="s">
        <v>99</v>
      </c>
      <c r="C47" s="4" t="n">
        <v>3</v>
      </c>
      <c r="D47" s="4" t="n">
        <v>2800</v>
      </c>
      <c r="E47" s="4" t="n">
        <v>-17</v>
      </c>
      <c r="F47" s="4" t="n">
        <f aca="false">ROUND((C47-AVERAGE(C2:C245))/AVERAGE(C2:C245) * 100,0)</f>
        <v>-19</v>
      </c>
      <c r="G47" s="4" t="s">
        <v>100</v>
      </c>
      <c r="H47" s="4" t="n">
        <v>3.1</v>
      </c>
      <c r="I47" s="4" t="n">
        <v>3.6</v>
      </c>
      <c r="J47" s="4" t="n">
        <v>2</v>
      </c>
      <c r="K47" s="4" t="n">
        <v>2.7</v>
      </c>
      <c r="L47" s="4" t="n">
        <v>3.1</v>
      </c>
      <c r="M47" s="4" t="n">
        <v>3.2</v>
      </c>
      <c r="N47" s="4" t="n">
        <v>3</v>
      </c>
      <c r="O47" s="4" t="n">
        <v>1983</v>
      </c>
      <c r="P47" s="4" t="n">
        <v>10400</v>
      </c>
      <c r="Q47" s="4" t="n">
        <v>15000</v>
      </c>
      <c r="R47" s="4" t="s">
        <v>101</v>
      </c>
      <c r="S47" s="4" t="s">
        <v>102</v>
      </c>
      <c r="T47" s="4" t="s">
        <v>46</v>
      </c>
      <c r="U47" s="4"/>
      <c r="V47" s="4" t="s">
        <v>103</v>
      </c>
      <c r="W47" s="4" t="s">
        <v>104</v>
      </c>
      <c r="X47" s="4" t="s">
        <v>41</v>
      </c>
      <c r="Y47" s="4" t="n">
        <v>46.3</v>
      </c>
      <c r="Z47" s="4" t="s">
        <v>105</v>
      </c>
      <c r="AA47" s="4" t="n">
        <v>13</v>
      </c>
      <c r="AB47" s="4" t="n">
        <v>1.8</v>
      </c>
      <c r="AC47" s="4" t="n">
        <v>4</v>
      </c>
      <c r="AD47" s="4" t="n">
        <v>32</v>
      </c>
      <c r="AE47" s="4" t="n">
        <v>53</v>
      </c>
      <c r="AF47" s="3" t="n">
        <v>-37</v>
      </c>
      <c r="AG47" s="3" t="n">
        <v>2655</v>
      </c>
    </row>
    <row r="48" s="1" customFormat="true" ht="15" hidden="true" customHeight="false" outlineLevel="0" collapsed="false">
      <c r="A48" s="1" t="s">
        <v>284</v>
      </c>
      <c r="B48" s="1" t="s">
        <v>285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286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287</v>
      </c>
      <c r="S48" s="1" t="s">
        <v>213</v>
      </c>
      <c r="U48" s="1" t="s">
        <v>288</v>
      </c>
      <c r="V48" s="1" t="s">
        <v>289</v>
      </c>
      <c r="W48" s="5" t="s">
        <v>290</v>
      </c>
      <c r="X48" s="1" t="s">
        <v>291</v>
      </c>
      <c r="Y48" s="1" t="n">
        <v>44.3</v>
      </c>
      <c r="Z48" s="5" t="s">
        <v>292</v>
      </c>
      <c r="AA48" s="1" t="n">
        <v>13</v>
      </c>
      <c r="AB48" s="1" t="n">
        <v>2.3</v>
      </c>
      <c r="AC48" s="1" t="n">
        <v>7</v>
      </c>
      <c r="AD48" s="1" t="n">
        <v>8</v>
      </c>
      <c r="AE48" s="1" t="n">
        <v>40</v>
      </c>
      <c r="AF48" s="5" t="s">
        <v>147</v>
      </c>
      <c r="AG48" s="5" t="s">
        <v>147</v>
      </c>
    </row>
    <row r="49" s="1" customFormat="true" ht="15" hidden="true" customHeight="false" outlineLevel="0" collapsed="false">
      <c r="A49" s="4" t="s">
        <v>284</v>
      </c>
      <c r="B49" s="4" t="s">
        <v>293</v>
      </c>
      <c r="C49" s="4" t="n">
        <v>2.8</v>
      </c>
      <c r="D49" s="4" t="n">
        <v>119</v>
      </c>
      <c r="E49" s="4" t="n">
        <v>-22</v>
      </c>
      <c r="F49" s="4" t="n">
        <f aca="false">ROUND((C49-AVERAGE(C2:C247))/AVERAGE(C2:C247) * 100,0)</f>
        <v>-24</v>
      </c>
      <c r="G49" s="4" t="s">
        <v>294</v>
      </c>
      <c r="H49" s="4" t="n">
        <v>2.8</v>
      </c>
      <c r="I49" s="4" t="n">
        <v>2.6</v>
      </c>
      <c r="J49" s="4" t="n">
        <v>2.7</v>
      </c>
      <c r="K49" s="4" t="n">
        <v>2.7</v>
      </c>
      <c r="L49" s="4" t="n">
        <v>2.7</v>
      </c>
      <c r="M49" s="4" t="n">
        <v>2.7</v>
      </c>
      <c r="N49" s="4" t="n">
        <v>2.6</v>
      </c>
      <c r="O49" s="4" t="n">
        <v>2011</v>
      </c>
      <c r="P49" s="4" t="n">
        <v>150</v>
      </c>
      <c r="Q49" s="4" t="n">
        <v>150</v>
      </c>
      <c r="R49" s="4" t="s">
        <v>295</v>
      </c>
      <c r="S49" s="4" t="s">
        <v>46</v>
      </c>
      <c r="T49" s="4"/>
      <c r="U49" s="4" t="s">
        <v>296</v>
      </c>
      <c r="V49" s="4" t="s">
        <v>297</v>
      </c>
      <c r="W49" s="4" t="s">
        <v>298</v>
      </c>
      <c r="X49" s="4" t="s">
        <v>216</v>
      </c>
      <c r="Y49" s="4" t="n">
        <v>12.2</v>
      </c>
      <c r="Z49" s="4" t="s">
        <v>299</v>
      </c>
      <c r="AA49" s="4" t="n">
        <v>13</v>
      </c>
      <c r="AB49" s="4" t="n">
        <v>5.2</v>
      </c>
      <c r="AC49" s="4" t="n">
        <v>-3</v>
      </c>
      <c r="AD49" s="4" t="n">
        <v>-3</v>
      </c>
      <c r="AE49" s="4" t="n">
        <v>-1</v>
      </c>
      <c r="AF49" s="3" t="s">
        <v>147</v>
      </c>
      <c r="AG49" s="3" t="s">
        <v>147</v>
      </c>
    </row>
    <row r="50" s="1" customFormat="true" ht="15" hidden="true" customHeight="false" outlineLevel="0" collapsed="false">
      <c r="A50" s="1" t="s">
        <v>284</v>
      </c>
      <c r="B50" s="1" t="s">
        <v>300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301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302</v>
      </c>
      <c r="S50" s="1" t="s">
        <v>46</v>
      </c>
      <c r="T50" s="1" t="s">
        <v>157</v>
      </c>
      <c r="U50" s="1" t="s">
        <v>303</v>
      </c>
      <c r="V50" s="1" t="s">
        <v>304</v>
      </c>
      <c r="W50" s="5" t="s">
        <v>305</v>
      </c>
      <c r="X50" s="1" t="s">
        <v>306</v>
      </c>
      <c r="Y50" s="1" t="n">
        <v>37</v>
      </c>
      <c r="Z50" s="5" t="s">
        <v>307</v>
      </c>
      <c r="AA50" s="1" t="n">
        <v>13</v>
      </c>
      <c r="AB50" s="1" t="n">
        <v>4.1</v>
      </c>
      <c r="AC50" s="1" t="n">
        <v>5</v>
      </c>
      <c r="AD50" s="1" t="n">
        <v>2</v>
      </c>
      <c r="AE50" s="1" t="n">
        <v>12</v>
      </c>
      <c r="AF50" s="1" t="n">
        <v>-70</v>
      </c>
      <c r="AG50" s="1" t="n">
        <v>46</v>
      </c>
    </row>
    <row r="51" s="1" customFormat="true" ht="15" hidden="true" customHeight="false" outlineLevel="0" collapsed="false">
      <c r="A51" s="4" t="s">
        <v>284</v>
      </c>
      <c r="B51" s="4" t="s">
        <v>308</v>
      </c>
      <c r="C51" s="4" t="n">
        <v>3.2</v>
      </c>
      <c r="D51" s="4" t="n">
        <v>386</v>
      </c>
      <c r="E51" s="4" t="n">
        <v>-11</v>
      </c>
      <c r="F51" s="4" t="n">
        <f aca="false">ROUND((C51-AVERAGE(C2:C249))/AVERAGE(C2:C249) * 100,0)</f>
        <v>-13</v>
      </c>
      <c r="G51" s="4" t="s">
        <v>309</v>
      </c>
      <c r="H51" s="4" t="n">
        <v>3</v>
      </c>
      <c r="I51" s="4" t="n">
        <v>3.2</v>
      </c>
      <c r="J51" s="4" t="n">
        <v>3.1</v>
      </c>
      <c r="K51" s="4" t="n">
        <v>2.9</v>
      </c>
      <c r="L51" s="4" t="n">
        <v>2.8</v>
      </c>
      <c r="M51" s="4" t="n">
        <v>3</v>
      </c>
      <c r="N51" s="4" t="n">
        <v>2.6</v>
      </c>
      <c r="O51" s="4" t="n">
        <v>2000</v>
      </c>
      <c r="P51" s="4" t="n">
        <v>1000</v>
      </c>
      <c r="Q51" s="4" t="n">
        <v>2200</v>
      </c>
      <c r="R51" s="4" t="s">
        <v>310</v>
      </c>
      <c r="S51" s="4" t="s">
        <v>157</v>
      </c>
      <c r="T51" s="4" t="s">
        <v>311</v>
      </c>
      <c r="U51" s="4" t="s">
        <v>312</v>
      </c>
      <c r="V51" s="4" t="s">
        <v>313</v>
      </c>
      <c r="W51" s="4" t="s">
        <v>314</v>
      </c>
      <c r="X51" s="4" t="s">
        <v>315</v>
      </c>
      <c r="Y51" s="4" t="n">
        <v>22.8</v>
      </c>
      <c r="Z51" s="4" t="s">
        <v>316</v>
      </c>
      <c r="AA51" s="4" t="n">
        <v>13</v>
      </c>
      <c r="AB51" s="4" t="n">
        <v>4.8</v>
      </c>
      <c r="AC51" s="4" t="n">
        <v>0</v>
      </c>
      <c r="AD51" s="4" t="n">
        <v>0</v>
      </c>
      <c r="AE51" s="4" t="n">
        <v>-2</v>
      </c>
      <c r="AF51" s="3" t="n">
        <v>-50</v>
      </c>
      <c r="AG51" s="3" t="n">
        <v>61</v>
      </c>
    </row>
    <row r="52" s="1" customFormat="true" ht="15" hidden="true" customHeight="false" outlineLevel="0" collapsed="false">
      <c r="A52" s="1" t="s">
        <v>317</v>
      </c>
      <c r="B52" s="1" t="s">
        <v>318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0</v>
      </c>
      <c r="G52" s="5" t="s">
        <v>319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5" t="s">
        <v>320</v>
      </c>
      <c r="S52" s="5" t="s">
        <v>46</v>
      </c>
      <c r="U52" s="5" t="s">
        <v>321</v>
      </c>
      <c r="V52" s="1" t="s">
        <v>322</v>
      </c>
      <c r="W52" s="5" t="s">
        <v>323</v>
      </c>
      <c r="X52" s="5" t="s">
        <v>324</v>
      </c>
      <c r="Y52" s="1" t="n">
        <v>24.1</v>
      </c>
      <c r="Z52" s="5" t="s">
        <v>325</v>
      </c>
      <c r="AA52" s="1" t="n">
        <v>13</v>
      </c>
      <c r="AB52" s="1" t="n">
        <v>4.8</v>
      </c>
      <c r="AC52" s="1" t="n">
        <v>-4</v>
      </c>
      <c r="AD52" s="1" t="n">
        <v>-5</v>
      </c>
      <c r="AE52" s="1" t="n">
        <v>-15</v>
      </c>
      <c r="AF52" s="1" t="n">
        <v>-52</v>
      </c>
      <c r="AG52" s="1" t="n">
        <v>717</v>
      </c>
    </row>
    <row r="53" s="1" customFormat="true" ht="15" hidden="true" customHeight="false" outlineLevel="0" collapsed="false">
      <c r="A53" s="4" t="s">
        <v>317</v>
      </c>
      <c r="B53" s="4" t="s">
        <v>278</v>
      </c>
      <c r="C53" s="4" t="n">
        <v>4.3</v>
      </c>
      <c r="D53" s="4" t="n">
        <v>19</v>
      </c>
      <c r="E53" s="4" t="s">
        <v>147</v>
      </c>
      <c r="F53" s="4" t="n">
        <f aca="false">ROUND((C53-AVERAGE(C2:C251))/AVERAGE(C2:C251) * 100,0)</f>
        <v>17</v>
      </c>
      <c r="G53" s="4" t="s">
        <v>326</v>
      </c>
      <c r="H53" s="4" t="n">
        <v>4.5</v>
      </c>
      <c r="I53" s="4" t="n">
        <v>3.8</v>
      </c>
      <c r="J53" s="4" t="n">
        <v>4.2</v>
      </c>
      <c r="K53" s="4" t="s">
        <v>147</v>
      </c>
      <c r="L53" s="4" t="s">
        <v>147</v>
      </c>
      <c r="M53" s="4" t="s">
        <v>147</v>
      </c>
      <c r="N53" s="4" t="s">
        <v>147</v>
      </c>
      <c r="O53" s="4" t="n">
        <v>2017</v>
      </c>
      <c r="P53" s="4" t="s">
        <v>147</v>
      </c>
      <c r="Q53" s="4" t="n">
        <v>50</v>
      </c>
      <c r="R53" s="4" t="s">
        <v>280</v>
      </c>
      <c r="S53" s="4" t="s">
        <v>213</v>
      </c>
      <c r="T53" s="4"/>
      <c r="U53" s="4" t="s">
        <v>281</v>
      </c>
      <c r="V53" s="4" t="s">
        <v>282</v>
      </c>
      <c r="W53" s="4" t="s">
        <v>283</v>
      </c>
      <c r="X53" s="4" t="s">
        <v>147</v>
      </c>
      <c r="Y53" s="4" t="s">
        <v>147</v>
      </c>
      <c r="Z53" s="4"/>
      <c r="AA53" s="4" t="n">
        <v>13</v>
      </c>
      <c r="AB53" s="4" t="n">
        <v>1.8</v>
      </c>
      <c r="AC53" s="4" t="n">
        <v>21</v>
      </c>
      <c r="AD53" s="4" t="n">
        <v>36</v>
      </c>
      <c r="AE53" s="4" t="n">
        <v>81</v>
      </c>
      <c r="AF53" s="3" t="n">
        <v>293</v>
      </c>
      <c r="AG53" s="3" t="n">
        <v>148</v>
      </c>
    </row>
    <row r="54" s="1" customFormat="true" ht="15" hidden="true" customHeight="false" outlineLevel="0" collapsed="false">
      <c r="A54" s="1" t="s">
        <v>327</v>
      </c>
      <c r="B54" s="1" t="s">
        <v>328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-11</v>
      </c>
      <c r="G54" s="1" t="s">
        <v>329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330</v>
      </c>
      <c r="S54" s="1" t="s">
        <v>46</v>
      </c>
      <c r="U54" s="1" t="s">
        <v>331</v>
      </c>
      <c r="V54" s="1" t="s">
        <v>332</v>
      </c>
      <c r="W54" s="5" t="s">
        <v>333</v>
      </c>
      <c r="X54" s="5" t="s">
        <v>334</v>
      </c>
      <c r="Y54" s="1" t="n">
        <v>26.3</v>
      </c>
      <c r="Z54" s="5" t="s">
        <v>335</v>
      </c>
      <c r="AA54" s="1" t="n">
        <v>13</v>
      </c>
      <c r="AB54" s="1" t="n">
        <v>3.8</v>
      </c>
      <c r="AC54" s="1" t="n">
        <v>2</v>
      </c>
      <c r="AD54" s="1" t="n">
        <v>4</v>
      </c>
      <c r="AE54" s="1" t="n">
        <v>11</v>
      </c>
      <c r="AF54" s="1" t="n">
        <v>-17</v>
      </c>
      <c r="AG54" s="1" t="n">
        <v>4901</v>
      </c>
    </row>
    <row r="55" s="1" customFormat="true" ht="15" hidden="true" customHeight="false" outlineLevel="0" collapsed="false">
      <c r="A55" s="4" t="s">
        <v>336</v>
      </c>
      <c r="B55" s="4" t="s">
        <v>337</v>
      </c>
      <c r="C55" s="4" t="n">
        <v>3.7</v>
      </c>
      <c r="D55" s="4" t="n">
        <v>352</v>
      </c>
      <c r="E55" s="4" t="n">
        <v>3</v>
      </c>
      <c r="F55" s="4" t="n">
        <f aca="false">ROUND((C55-AVERAGE(C2:C253))/AVERAGE(C2:C253) * 100,0)</f>
        <v>0</v>
      </c>
      <c r="G55" s="4" t="s">
        <v>338</v>
      </c>
      <c r="H55" s="4" t="n">
        <v>3.8</v>
      </c>
      <c r="I55" s="4" t="n">
        <v>3.8</v>
      </c>
      <c r="J55" s="4" t="n">
        <v>3.4</v>
      </c>
      <c r="K55" s="4" t="n">
        <v>3.4</v>
      </c>
      <c r="L55" s="4" t="n">
        <v>3.5</v>
      </c>
      <c r="M55" s="4" t="n">
        <v>3.6</v>
      </c>
      <c r="N55" s="4" t="n">
        <v>3.3</v>
      </c>
      <c r="O55" s="4" t="n">
        <v>1973</v>
      </c>
      <c r="P55" s="4" t="n">
        <v>3500</v>
      </c>
      <c r="Q55" s="4" t="n">
        <v>23000</v>
      </c>
      <c r="R55" s="4" t="s">
        <v>339</v>
      </c>
      <c r="S55" s="4" t="s">
        <v>102</v>
      </c>
      <c r="T55" s="4" t="s">
        <v>61</v>
      </c>
      <c r="U55" s="4" t="s">
        <v>340</v>
      </c>
      <c r="V55" s="4" t="s">
        <v>341</v>
      </c>
      <c r="W55" s="4" t="s">
        <v>342</v>
      </c>
      <c r="X55" s="4" t="s">
        <v>343</v>
      </c>
      <c r="Y55" s="4" t="n">
        <v>37.8</v>
      </c>
      <c r="Z55" s="4" t="s">
        <v>344</v>
      </c>
      <c r="AA55" s="4" t="n">
        <v>13</v>
      </c>
      <c r="AB55" s="4" t="n">
        <v>3.3</v>
      </c>
      <c r="AC55" s="4" t="n">
        <v>6</v>
      </c>
      <c r="AD55" s="4" t="n">
        <v>8</v>
      </c>
      <c r="AE55" s="4" t="n">
        <v>12</v>
      </c>
      <c r="AF55" s="3" t="n">
        <v>46</v>
      </c>
      <c r="AG55" s="3" t="n">
        <v>3740</v>
      </c>
    </row>
    <row r="56" s="1" customFormat="true" ht="15" hidden="true" customHeight="false" outlineLevel="0" collapsed="false">
      <c r="A56" s="1" t="s">
        <v>336</v>
      </c>
      <c r="B56" s="1" t="s">
        <v>345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-8</v>
      </c>
      <c r="G56" s="1" t="s">
        <v>346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347</v>
      </c>
      <c r="S56" s="5" t="s">
        <v>102</v>
      </c>
      <c r="T56" s="1" t="s">
        <v>61</v>
      </c>
      <c r="U56" s="1" t="s">
        <v>348</v>
      </c>
      <c r="V56" s="1" t="s">
        <v>349</v>
      </c>
      <c r="W56" s="5" t="s">
        <v>350</v>
      </c>
      <c r="X56" s="1" t="s">
        <v>41</v>
      </c>
      <c r="Y56" s="1" t="n">
        <v>29.5</v>
      </c>
      <c r="Z56" s="5" t="s">
        <v>351</v>
      </c>
      <c r="AA56" s="1" t="n">
        <v>13</v>
      </c>
      <c r="AB56" s="1" t="n">
        <v>3.5</v>
      </c>
      <c r="AC56" s="1" t="n">
        <v>2</v>
      </c>
      <c r="AD56" s="1" t="n">
        <v>8</v>
      </c>
      <c r="AE56" s="1" t="n">
        <v>14</v>
      </c>
      <c r="AF56" s="1" t="n">
        <v>-26</v>
      </c>
      <c r="AG56" s="1" t="n">
        <v>42990</v>
      </c>
    </row>
    <row r="57" s="1" customFormat="true" ht="15" hidden="false" customHeight="false" outlineLevel="0" collapsed="false">
      <c r="A57" s="4" t="s">
        <v>352</v>
      </c>
      <c r="B57" s="4" t="s">
        <v>353</v>
      </c>
      <c r="C57" s="4" t="n">
        <v>3.2</v>
      </c>
      <c r="D57" s="4" t="n">
        <v>4100</v>
      </c>
      <c r="E57" s="4" t="n">
        <v>-11</v>
      </c>
      <c r="F57" s="4" t="n">
        <f aca="false">ROUND((C57-AVERAGE(C2:C255))/AVERAGE(C2:C255) * 100,0)</f>
        <v>-13</v>
      </c>
      <c r="G57" s="4" t="s">
        <v>354</v>
      </c>
      <c r="H57" s="4" t="n">
        <v>3.2</v>
      </c>
      <c r="I57" s="4" t="n">
        <v>3.4</v>
      </c>
      <c r="J57" s="4" t="n">
        <v>3.2</v>
      </c>
      <c r="K57" s="4" t="n">
        <v>3</v>
      </c>
      <c r="L57" s="4" t="n">
        <v>3.4</v>
      </c>
      <c r="M57" s="4" t="n">
        <v>2.8</v>
      </c>
      <c r="N57" s="4" t="n">
        <v>2.4</v>
      </c>
      <c r="O57" s="4" t="n">
        <v>1990</v>
      </c>
      <c r="P57" s="4" t="n">
        <v>10000</v>
      </c>
      <c r="Q57" s="4" t="n">
        <v>24370</v>
      </c>
      <c r="R57" s="4" t="s">
        <v>355</v>
      </c>
      <c r="S57" s="4" t="s">
        <v>46</v>
      </c>
      <c r="T57" s="4" t="s">
        <v>356</v>
      </c>
      <c r="U57" s="4" t="s">
        <v>340</v>
      </c>
      <c r="V57" s="4" t="s">
        <v>357</v>
      </c>
      <c r="W57" s="4" t="s">
        <v>358</v>
      </c>
      <c r="X57" s="4" t="s">
        <v>41</v>
      </c>
      <c r="Y57" s="4" t="n">
        <v>38.8</v>
      </c>
      <c r="Z57" s="4" t="s">
        <v>359</v>
      </c>
      <c r="AA57" s="4" t="n">
        <v>13</v>
      </c>
      <c r="AB57" s="4" t="n">
        <v>4</v>
      </c>
      <c r="AC57" s="4" t="n">
        <v>-3</v>
      </c>
      <c r="AD57" s="4" t="n">
        <v>-1</v>
      </c>
      <c r="AE57" s="4" t="n">
        <v>3</v>
      </c>
      <c r="AF57" s="3" t="n">
        <v>-30</v>
      </c>
      <c r="AG57" s="3" t="n">
        <v>827</v>
      </c>
    </row>
    <row r="58" s="1" customFormat="true" ht="15" hidden="true" customHeight="false" outlineLevel="0" collapsed="false">
      <c r="A58" s="1" t="s">
        <v>352</v>
      </c>
      <c r="B58" s="1" t="s">
        <v>360</v>
      </c>
      <c r="C58" s="1" t="n">
        <v>3.5</v>
      </c>
      <c r="D58" s="1" t="n">
        <v>5200</v>
      </c>
      <c r="E58" s="1" t="n">
        <v>-3</v>
      </c>
      <c r="F58" s="1" t="n">
        <f aca="false">ROUND((C58-AVERAGE(C2:C256))/AVERAGE(C2:C256) * 100,0)</f>
        <v>-5</v>
      </c>
      <c r="G58" s="1" t="s">
        <v>361</v>
      </c>
      <c r="H58" s="1" t="n">
        <v>3.5</v>
      </c>
      <c r="I58" s="1" t="n">
        <v>3.3</v>
      </c>
      <c r="J58" s="1" t="n">
        <v>3.6</v>
      </c>
      <c r="K58" s="1" t="n">
        <v>3.3</v>
      </c>
      <c r="L58" s="1" t="n">
        <v>3.5</v>
      </c>
      <c r="M58" s="1" t="n">
        <v>3.2</v>
      </c>
      <c r="N58" s="1" t="n">
        <v>2.9</v>
      </c>
      <c r="O58" s="1" t="n">
        <v>1990</v>
      </c>
      <c r="P58" s="1" t="n">
        <v>23000</v>
      </c>
      <c r="Q58" s="1" t="n">
        <v>27500</v>
      </c>
      <c r="R58" s="1" t="s">
        <v>362</v>
      </c>
      <c r="S58" s="1" t="s">
        <v>46</v>
      </c>
      <c r="U58" s="1" t="s">
        <v>363</v>
      </c>
      <c r="V58" s="1" t="s">
        <v>364</v>
      </c>
      <c r="W58" s="1" t="s">
        <v>365</v>
      </c>
      <c r="X58" s="1" t="s">
        <v>41</v>
      </c>
      <c r="Y58" s="1" t="n">
        <v>27.1</v>
      </c>
      <c r="Z58" s="5" t="s">
        <v>366</v>
      </c>
      <c r="AA58" s="1" t="n">
        <v>13</v>
      </c>
      <c r="AB58" s="1" t="n">
        <v>3.6</v>
      </c>
      <c r="AC58" s="1" t="n">
        <v>3</v>
      </c>
      <c r="AD58" s="1" t="n">
        <v>7</v>
      </c>
      <c r="AE58" s="1" t="n">
        <v>14</v>
      </c>
      <c r="AF58" s="1" t="n">
        <v>-3</v>
      </c>
      <c r="AG58" s="1" t="n">
        <v>2423</v>
      </c>
    </row>
    <row r="59" s="1" customFormat="true" ht="15" hidden="true" customHeight="false" outlineLevel="0" collapsed="false">
      <c r="A59" s="4" t="s">
        <v>352</v>
      </c>
      <c r="B59" s="4" t="s">
        <v>367</v>
      </c>
      <c r="C59" s="4" t="n">
        <v>4.3</v>
      </c>
      <c r="D59" s="4" t="n">
        <v>48</v>
      </c>
      <c r="E59" s="4" t="n">
        <v>19</v>
      </c>
      <c r="F59" s="4" t="n">
        <f aca="false">ROUND((C59-AVERAGE(C2:C257))/AVERAGE(C2:C257) * 100,0)</f>
        <v>17</v>
      </c>
      <c r="G59" s="4" t="s">
        <v>368</v>
      </c>
      <c r="H59" s="4" t="n">
        <v>4.3</v>
      </c>
      <c r="I59" s="4" t="n">
        <v>4.1</v>
      </c>
      <c r="J59" s="4" t="n">
        <v>4.4</v>
      </c>
      <c r="K59" s="4" t="n">
        <v>4.2</v>
      </c>
      <c r="L59" s="4" t="n">
        <v>3.9</v>
      </c>
      <c r="M59" s="4" t="n">
        <v>4</v>
      </c>
      <c r="N59" s="4" t="n">
        <v>3.6</v>
      </c>
      <c r="O59" s="4" t="n">
        <v>2018</v>
      </c>
      <c r="P59" s="4" t="n">
        <v>50</v>
      </c>
      <c r="Q59" s="4" t="n">
        <v>144</v>
      </c>
      <c r="R59" s="4" t="s">
        <v>369</v>
      </c>
      <c r="S59" s="4" t="s">
        <v>370</v>
      </c>
      <c r="T59" s="4" t="s">
        <v>68</v>
      </c>
      <c r="U59" s="4" t="s">
        <v>371</v>
      </c>
      <c r="V59" s="4" t="s">
        <v>372</v>
      </c>
      <c r="W59" s="4" t="s">
        <v>373</v>
      </c>
      <c r="X59" s="4" t="s">
        <v>374</v>
      </c>
      <c r="Y59" s="4" t="n">
        <v>21</v>
      </c>
      <c r="Z59" s="4" t="s">
        <v>375</v>
      </c>
      <c r="AA59" s="4" t="n">
        <v>13</v>
      </c>
      <c r="AB59" s="4" t="n">
        <v>3.5</v>
      </c>
      <c r="AC59" s="4" t="n">
        <v>0</v>
      </c>
      <c r="AD59" s="4" t="n">
        <v>1</v>
      </c>
      <c r="AE59" s="4" t="n">
        <v>13</v>
      </c>
      <c r="AF59" s="3" t="s">
        <v>147</v>
      </c>
      <c r="AG59" s="3" t="s">
        <v>147</v>
      </c>
    </row>
    <row r="60" s="1" customFormat="true" ht="15" hidden="true" customHeight="false" outlineLevel="0" collapsed="false">
      <c r="A60" s="1" t="s">
        <v>352</v>
      </c>
      <c r="B60" s="1" t="s">
        <v>376</v>
      </c>
      <c r="C60" s="1" t="n">
        <v>1.9</v>
      </c>
      <c r="D60" s="1" t="n">
        <v>5</v>
      </c>
      <c r="E60" s="1" t="n">
        <v>-47</v>
      </c>
      <c r="F60" s="1" t="n">
        <f aca="false">ROUND((C60-AVERAGE(C2:C258))/AVERAGE(C2:C258) * 100,0)</f>
        <v>-48</v>
      </c>
      <c r="G60" s="1" t="s">
        <v>377</v>
      </c>
      <c r="H60" s="1" t="n">
        <v>1.9</v>
      </c>
      <c r="I60" s="1" t="n">
        <v>2.7</v>
      </c>
      <c r="J60" s="1" t="n">
        <v>1.9</v>
      </c>
      <c r="K60" s="1" t="n">
        <v>2.1</v>
      </c>
      <c r="L60" s="1" t="n">
        <v>1.9</v>
      </c>
      <c r="M60" s="1" t="n">
        <v>2.1</v>
      </c>
      <c r="N60" s="1" t="n">
        <v>1.9</v>
      </c>
      <c r="O60" s="1" t="n">
        <v>2012</v>
      </c>
      <c r="P60" s="1" t="n">
        <v>50</v>
      </c>
      <c r="Q60" s="1" t="n">
        <v>50</v>
      </c>
      <c r="R60" s="1" t="s">
        <v>378</v>
      </c>
      <c r="S60" s="5" t="s">
        <v>370</v>
      </c>
      <c r="U60" s="1" t="s">
        <v>371</v>
      </c>
      <c r="V60" s="1" t="s">
        <v>379</v>
      </c>
      <c r="W60" s="1" t="s">
        <v>380</v>
      </c>
      <c r="X60" s="1" t="s">
        <v>381</v>
      </c>
      <c r="Y60" s="1" t="n">
        <v>30</v>
      </c>
      <c r="Z60" s="5" t="s">
        <v>382</v>
      </c>
      <c r="AA60" s="1" t="n">
        <v>13</v>
      </c>
      <c r="AB60" s="1" t="n">
        <v>1.8</v>
      </c>
      <c r="AC60" s="1" t="n">
        <v>-13</v>
      </c>
      <c r="AD60" s="1" t="n">
        <v>-28</v>
      </c>
      <c r="AE60" s="1" t="n">
        <v>136</v>
      </c>
      <c r="AF60" s="5" t="s">
        <v>147</v>
      </c>
      <c r="AG60" s="5" t="s">
        <v>147</v>
      </c>
    </row>
    <row r="61" s="1" customFormat="true" ht="15" hidden="true" customHeight="false" outlineLevel="0" collapsed="false">
      <c r="A61" s="4" t="s">
        <v>383</v>
      </c>
      <c r="B61" s="4" t="s">
        <v>384</v>
      </c>
      <c r="C61" s="4" t="s">
        <v>147</v>
      </c>
      <c r="D61" s="4" t="n">
        <v>0</v>
      </c>
      <c r="E61" s="4" t="s">
        <v>147</v>
      </c>
      <c r="F61" s="4" t="s">
        <v>147</v>
      </c>
      <c r="G61" s="4" t="s">
        <v>385</v>
      </c>
      <c r="H61" s="4" t="s">
        <v>147</v>
      </c>
      <c r="I61" s="4" t="s">
        <v>147</v>
      </c>
      <c r="J61" s="4" t="s">
        <v>147</v>
      </c>
      <c r="K61" s="4" t="s">
        <v>147</v>
      </c>
      <c r="L61" s="4" t="s">
        <v>147</v>
      </c>
      <c r="M61" s="4" t="s">
        <v>147</v>
      </c>
      <c r="N61" s="4" t="s">
        <v>147</v>
      </c>
      <c r="O61" s="4" t="n">
        <v>2016</v>
      </c>
      <c r="P61" s="4" t="n">
        <v>50</v>
      </c>
      <c r="Q61" s="4" t="n">
        <v>50</v>
      </c>
      <c r="R61" s="4" t="s">
        <v>386</v>
      </c>
      <c r="S61" s="4" t="s">
        <v>213</v>
      </c>
      <c r="T61" s="4" t="s">
        <v>387</v>
      </c>
      <c r="U61" s="4" t="s">
        <v>388</v>
      </c>
      <c r="V61" s="4" t="s">
        <v>389</v>
      </c>
      <c r="W61" s="4" t="s">
        <v>390</v>
      </c>
      <c r="X61" s="4" t="s">
        <v>147</v>
      </c>
      <c r="Y61" s="4" t="s">
        <v>147</v>
      </c>
      <c r="Z61" s="4" t="s">
        <v>147</v>
      </c>
      <c r="AA61" s="4" t="n">
        <v>13</v>
      </c>
      <c r="AB61" s="4" t="n">
        <v>0.9</v>
      </c>
      <c r="AC61" s="4" t="n">
        <v>0</v>
      </c>
      <c r="AD61" s="4" t="n">
        <v>100</v>
      </c>
      <c r="AE61" s="4" t="s">
        <v>147</v>
      </c>
      <c r="AF61" s="3" t="s">
        <v>147</v>
      </c>
      <c r="AG61" s="3" t="s">
        <v>147</v>
      </c>
    </row>
    <row r="62" s="1" customFormat="true" ht="15" hidden="true" customHeight="false" outlineLevel="0" collapsed="false">
      <c r="A62" s="1" t="s">
        <v>383</v>
      </c>
      <c r="B62" s="1" t="s">
        <v>384</v>
      </c>
      <c r="C62" s="1" t="n">
        <v>5</v>
      </c>
      <c r="D62" s="1" t="n">
        <v>1</v>
      </c>
      <c r="E62" s="1" t="s">
        <v>147</v>
      </c>
      <c r="F62" s="1" t="n">
        <f aca="false">ROUND((C62-AVERAGE(C2:C260))/AVERAGE(C2:C260) * 100,0)</f>
        <v>36</v>
      </c>
      <c r="G62" s="1" t="s">
        <v>391</v>
      </c>
      <c r="H62" s="1" t="n">
        <v>3</v>
      </c>
      <c r="I62" s="1" t="n">
        <v>5</v>
      </c>
      <c r="J62" s="1" t="n">
        <v>2</v>
      </c>
      <c r="K62" s="1" t="s">
        <v>147</v>
      </c>
      <c r="L62" s="1" t="s">
        <v>147</v>
      </c>
      <c r="M62" s="1" t="s">
        <v>147</v>
      </c>
      <c r="N62" s="1" t="s">
        <v>147</v>
      </c>
      <c r="O62" s="1" t="n">
        <v>2016</v>
      </c>
      <c r="P62" s="1" t="n">
        <v>50</v>
      </c>
      <c r="Q62" s="1" t="n">
        <v>50</v>
      </c>
      <c r="R62" s="1" t="s">
        <v>386</v>
      </c>
      <c r="S62" s="5" t="s">
        <v>213</v>
      </c>
      <c r="T62" s="1" t="s">
        <v>387</v>
      </c>
      <c r="U62" s="1" t="s">
        <v>388</v>
      </c>
      <c r="V62" s="1" t="s">
        <v>392</v>
      </c>
      <c r="W62" s="1" t="s">
        <v>390</v>
      </c>
      <c r="X62" s="5" t="s">
        <v>147</v>
      </c>
      <c r="Y62" s="5" t="s">
        <v>147</v>
      </c>
      <c r="Z62" s="5" t="s">
        <v>147</v>
      </c>
      <c r="AA62" s="1" t="n">
        <v>13</v>
      </c>
      <c r="AB62" s="1" t="n">
        <v>0.9</v>
      </c>
      <c r="AC62" s="1" t="n">
        <v>0</v>
      </c>
      <c r="AD62" s="1" t="n">
        <v>100</v>
      </c>
      <c r="AE62" s="5" t="s">
        <v>147</v>
      </c>
      <c r="AF62" s="5" t="s">
        <v>147</v>
      </c>
      <c r="AG62" s="5" t="s">
        <v>147</v>
      </c>
    </row>
    <row r="63" s="1" customFormat="true" ht="15" hidden="true" customHeight="false" outlineLevel="0" collapsed="false">
      <c r="A63" s="4" t="s">
        <v>383</v>
      </c>
      <c r="B63" s="4" t="s">
        <v>393</v>
      </c>
      <c r="C63" s="4" t="n">
        <v>3.3</v>
      </c>
      <c r="D63" s="4" t="n">
        <v>21</v>
      </c>
      <c r="E63" s="4" t="n">
        <v>-8</v>
      </c>
      <c r="F63" s="4" t="n">
        <f aca="false">ROUND((C63-AVERAGE(C2:C261))/AVERAGE(C2:C261) * 100,0)</f>
        <v>-11</v>
      </c>
      <c r="G63" s="4" t="s">
        <v>394</v>
      </c>
      <c r="H63" s="4" t="n">
        <v>3.2</v>
      </c>
      <c r="I63" s="4" t="n">
        <v>3.2</v>
      </c>
      <c r="J63" s="4" t="n">
        <v>3.5</v>
      </c>
      <c r="K63" s="4" t="n">
        <v>3.2</v>
      </c>
      <c r="L63" s="4" t="n">
        <v>3.2</v>
      </c>
      <c r="M63" s="4" t="n">
        <v>3.4</v>
      </c>
      <c r="N63" s="4" t="n">
        <v>3.2</v>
      </c>
      <c r="O63" s="4" t="n">
        <v>2012</v>
      </c>
      <c r="P63" s="4" t="n">
        <v>50</v>
      </c>
      <c r="Q63" s="4" t="n">
        <v>200</v>
      </c>
      <c r="R63" s="4" t="s">
        <v>395</v>
      </c>
      <c r="S63" s="4" t="s">
        <v>252</v>
      </c>
      <c r="T63" s="4"/>
      <c r="U63" s="4" t="s">
        <v>396</v>
      </c>
      <c r="V63" s="4" t="s">
        <v>397</v>
      </c>
      <c r="W63" s="4" t="s">
        <v>398</v>
      </c>
      <c r="X63" s="4" t="s">
        <v>147</v>
      </c>
      <c r="Y63" s="4" t="s">
        <v>147</v>
      </c>
      <c r="Z63" s="4" t="s">
        <v>147</v>
      </c>
      <c r="AA63" s="4" t="n">
        <v>13</v>
      </c>
      <c r="AB63" s="4" t="n">
        <v>1.8</v>
      </c>
      <c r="AC63" s="4" t="n">
        <v>12</v>
      </c>
      <c r="AD63" s="4" t="n">
        <v>27</v>
      </c>
      <c r="AE63" s="4" t="n">
        <v>105</v>
      </c>
      <c r="AF63" s="3" t="s">
        <v>147</v>
      </c>
      <c r="AG63" s="3" t="s">
        <v>147</v>
      </c>
    </row>
    <row r="64" s="1" customFormat="true" ht="15" hidden="false" customHeight="false" outlineLevel="0" collapsed="false">
      <c r="A64" s="5" t="s">
        <v>399</v>
      </c>
      <c r="B64" s="5" t="s">
        <v>400</v>
      </c>
      <c r="C64" s="5" t="n">
        <v>4</v>
      </c>
      <c r="D64" s="5" t="n">
        <v>1100</v>
      </c>
      <c r="E64" s="5" t="n">
        <v>11</v>
      </c>
      <c r="F64" s="5" t="n">
        <f aca="false">ROUND((C64-AVERAGE(C2:C262))/AVERAGE(C2:C262) * 100,0)</f>
        <v>8</v>
      </c>
      <c r="G64" s="5" t="s">
        <v>401</v>
      </c>
      <c r="H64" s="5" t="n">
        <v>4.1</v>
      </c>
      <c r="I64" s="5" t="n">
        <v>3.5</v>
      </c>
      <c r="J64" s="5" t="n">
        <v>4</v>
      </c>
      <c r="K64" s="5" t="n">
        <v>3.7</v>
      </c>
      <c r="L64" s="5" t="n">
        <v>4</v>
      </c>
      <c r="M64" s="5" t="n">
        <v>4.1</v>
      </c>
      <c r="N64" s="5" t="n">
        <v>3.2</v>
      </c>
      <c r="O64" s="5" t="n">
        <v>2000</v>
      </c>
      <c r="P64" s="5" t="n">
        <v>7000</v>
      </c>
      <c r="Q64" s="5" t="n">
        <v>8121</v>
      </c>
      <c r="R64" s="5" t="s">
        <v>402</v>
      </c>
      <c r="S64" s="5" t="s">
        <v>53</v>
      </c>
      <c r="T64" s="5" t="s">
        <v>68</v>
      </c>
      <c r="U64" s="5" t="s">
        <v>388</v>
      </c>
      <c r="V64" s="5" t="s">
        <v>403</v>
      </c>
      <c r="W64" s="5" t="s">
        <v>404</v>
      </c>
      <c r="X64" s="5" t="s">
        <v>41</v>
      </c>
      <c r="Y64" s="5" t="n">
        <v>50.7</v>
      </c>
      <c r="Z64" s="5" t="s">
        <v>405</v>
      </c>
      <c r="AA64" s="5" t="n">
        <v>13</v>
      </c>
      <c r="AB64" s="5" t="n">
        <v>2.5</v>
      </c>
      <c r="AC64" s="5" t="n">
        <v>2</v>
      </c>
      <c r="AD64" s="5" t="n">
        <v>11</v>
      </c>
      <c r="AE64" s="5" t="n">
        <v>29</v>
      </c>
      <c r="AF64" s="5" t="n">
        <v>44</v>
      </c>
      <c r="AG64" s="5" t="n">
        <v>526</v>
      </c>
    </row>
    <row r="65" s="1" customFormat="true" ht="15" hidden="true" customHeight="false" outlineLevel="0" collapsed="false">
      <c r="A65" s="4" t="s">
        <v>399</v>
      </c>
      <c r="B65" s="4" t="s">
        <v>406</v>
      </c>
      <c r="C65" s="4" t="n">
        <v>3.4</v>
      </c>
      <c r="D65" s="4" t="n">
        <v>3800</v>
      </c>
      <c r="E65" s="4" t="n">
        <v>-6</v>
      </c>
      <c r="F65" s="4" t="n">
        <f aca="false">ROUND((C65-AVERAGE(C2:C263))/AVERAGE(C2:C263) * 100,0)</f>
        <v>-8</v>
      </c>
      <c r="G65" s="4" t="s">
        <v>407</v>
      </c>
      <c r="H65" s="4" t="n">
        <v>3.3</v>
      </c>
      <c r="I65" s="4" t="n">
        <v>3.1</v>
      </c>
      <c r="J65" s="4" t="n">
        <v>3.6</v>
      </c>
      <c r="K65" s="4" t="n">
        <v>3.2</v>
      </c>
      <c r="L65" s="4" t="n">
        <v>3.2</v>
      </c>
      <c r="M65" s="4" t="n">
        <v>3.3</v>
      </c>
      <c r="N65" s="4" t="n">
        <v>2.6</v>
      </c>
      <c r="O65" s="4" t="n">
        <v>1995</v>
      </c>
      <c r="P65" s="4" t="n">
        <v>11500</v>
      </c>
      <c r="Q65" s="4" t="n">
        <v>15409</v>
      </c>
      <c r="R65" s="4" t="s">
        <v>408</v>
      </c>
      <c r="S65" s="4" t="s">
        <v>46</v>
      </c>
      <c r="T65" s="4"/>
      <c r="U65" s="4" t="s">
        <v>363</v>
      </c>
      <c r="V65" s="4" t="s">
        <v>409</v>
      </c>
      <c r="W65" s="4" t="s">
        <v>410</v>
      </c>
      <c r="X65" s="4" t="s">
        <v>41</v>
      </c>
      <c r="Y65" s="4" t="n">
        <v>39.8</v>
      </c>
      <c r="Z65" s="4" t="s">
        <v>411</v>
      </c>
      <c r="AA65" s="4" t="n">
        <v>13</v>
      </c>
      <c r="AB65" s="4" t="n">
        <v>4.3</v>
      </c>
      <c r="AC65" s="4" t="n">
        <v>0</v>
      </c>
      <c r="AD65" s="4" t="n">
        <v>0</v>
      </c>
      <c r="AE65" s="4" t="n">
        <v>0</v>
      </c>
      <c r="AF65" s="3" t="s">
        <v>147</v>
      </c>
      <c r="AG65" s="3" t="s">
        <v>147</v>
      </c>
    </row>
    <row r="66" s="1" customFormat="true" ht="15" hidden="true" customHeight="false" outlineLevel="0" collapsed="false">
      <c r="A66" s="1" t="s">
        <v>399</v>
      </c>
      <c r="B66" s="1" t="s">
        <v>412</v>
      </c>
      <c r="C66" s="1" t="n">
        <v>3.4</v>
      </c>
      <c r="D66" s="1" t="n">
        <v>7900</v>
      </c>
      <c r="E66" s="1" t="n">
        <v>-6</v>
      </c>
      <c r="F66" s="1" t="n">
        <f aca="false">ROUND((C66-AVERAGE(C2:C264))/AVERAGE(C2:C264) * 100,0)</f>
        <v>-8</v>
      </c>
      <c r="G66" s="1" t="s">
        <v>413</v>
      </c>
      <c r="H66" s="1" t="n">
        <v>3.3</v>
      </c>
      <c r="I66" s="1" t="n">
        <v>3.1</v>
      </c>
      <c r="J66" s="1" t="n">
        <v>3.4</v>
      </c>
      <c r="K66" s="1" t="n">
        <v>3.2</v>
      </c>
      <c r="L66" s="1" t="n">
        <v>3.4</v>
      </c>
      <c r="M66" s="1" t="n">
        <v>3.3</v>
      </c>
      <c r="N66" s="1" t="n">
        <v>2.8</v>
      </c>
      <c r="O66" s="1" t="n">
        <v>1990</v>
      </c>
      <c r="P66" s="1" t="n">
        <v>28000</v>
      </c>
      <c r="Q66" s="1" t="n">
        <v>33844</v>
      </c>
      <c r="R66" s="1" t="s">
        <v>414</v>
      </c>
      <c r="S66" s="5" t="s">
        <v>46</v>
      </c>
      <c r="T66" s="1" t="s">
        <v>415</v>
      </c>
      <c r="U66" s="1" t="s">
        <v>416</v>
      </c>
      <c r="V66" s="1" t="s">
        <v>417</v>
      </c>
      <c r="W66" s="1" t="s">
        <v>418</v>
      </c>
      <c r="X66" s="1" t="s">
        <v>41</v>
      </c>
      <c r="Y66" s="1" t="n">
        <v>22.9</v>
      </c>
      <c r="Z66" s="1" t="s">
        <v>419</v>
      </c>
      <c r="AA66" s="1" t="n">
        <v>13</v>
      </c>
      <c r="AB66" s="1" t="n">
        <v>3.6</v>
      </c>
      <c r="AC66" s="1" t="n">
        <v>2</v>
      </c>
      <c r="AD66" s="1" t="n">
        <v>5</v>
      </c>
      <c r="AE66" s="1" t="n">
        <v>13</v>
      </c>
      <c r="AF66" s="1" t="n">
        <v>-24</v>
      </c>
      <c r="AG66" s="1" t="n">
        <v>2863</v>
      </c>
    </row>
    <row r="67" s="1" customFormat="true" ht="15" hidden="true" customHeight="false" outlineLevel="0" collapsed="false">
      <c r="A67" s="4" t="s">
        <v>399</v>
      </c>
      <c r="B67" s="4" t="s">
        <v>420</v>
      </c>
      <c r="C67" s="4" t="n">
        <v>3.6</v>
      </c>
      <c r="D67" s="4" t="n">
        <v>5700</v>
      </c>
      <c r="E67" s="4" t="n">
        <v>-3</v>
      </c>
      <c r="F67" s="4" t="n">
        <f aca="false">ROUND((C67-AVERAGE(C2:C265))/AVERAGE(C2:C265) * 100,0)</f>
        <v>-2</v>
      </c>
      <c r="G67" s="4" t="s">
        <v>421</v>
      </c>
      <c r="H67" s="4" t="n">
        <v>3.4</v>
      </c>
      <c r="I67" s="4" t="n">
        <v>3.9</v>
      </c>
      <c r="J67" s="4" t="n">
        <v>3.5</v>
      </c>
      <c r="K67" s="4" t="n">
        <v>3.3</v>
      </c>
      <c r="L67" s="4" t="n">
        <v>3.3</v>
      </c>
      <c r="M67" s="4" t="n">
        <v>3.4</v>
      </c>
      <c r="N67" s="4" t="n">
        <v>3</v>
      </c>
      <c r="O67" s="4" t="n">
        <v>1997</v>
      </c>
      <c r="P67" s="4" t="n">
        <v>45000</v>
      </c>
      <c r="Q67" s="4" t="n">
        <v>231944</v>
      </c>
      <c r="R67" s="4" t="s">
        <v>422</v>
      </c>
      <c r="S67" s="4" t="s">
        <v>75</v>
      </c>
      <c r="T67" s="4" t="s">
        <v>423</v>
      </c>
      <c r="U67" s="4" t="s">
        <v>388</v>
      </c>
      <c r="V67" s="4" t="s">
        <v>424</v>
      </c>
      <c r="W67" s="4" t="s">
        <v>425</v>
      </c>
      <c r="X67" s="4" t="s">
        <v>41</v>
      </c>
      <c r="Y67" s="4" t="n">
        <v>39.5</v>
      </c>
      <c r="Z67" s="4" t="s">
        <v>426</v>
      </c>
      <c r="AA67" s="4" t="n">
        <v>13</v>
      </c>
      <c r="AB67" s="4" t="n">
        <v>5.6</v>
      </c>
      <c r="AC67" s="4" t="n">
        <v>2</v>
      </c>
      <c r="AD67" s="4" t="n">
        <v>3</v>
      </c>
      <c r="AE67" s="4" t="n">
        <v>5</v>
      </c>
      <c r="AF67" s="3" t="n">
        <v>43</v>
      </c>
      <c r="AG67" s="3" t="n">
        <v>11070</v>
      </c>
    </row>
    <row r="68" s="1" customFormat="true" ht="15" hidden="true" customHeight="false" outlineLevel="0" collapsed="false">
      <c r="A68" s="1" t="s">
        <v>427</v>
      </c>
      <c r="B68" s="1" t="s">
        <v>428</v>
      </c>
      <c r="C68" s="1" t="n">
        <v>3.7</v>
      </c>
      <c r="D68" s="1" t="n">
        <v>222</v>
      </c>
      <c r="E68" s="1" t="n">
        <v>3</v>
      </c>
      <c r="F68" s="1" t="n">
        <f aca="false">ROUND((C68-AVERAGE(C2:C266))/AVERAGE(C2:C266) * 100,0)</f>
        <v>0</v>
      </c>
      <c r="G68" s="1" t="s">
        <v>429</v>
      </c>
      <c r="H68" s="1" t="n">
        <v>3.7</v>
      </c>
      <c r="I68" s="1" t="n">
        <v>3.2</v>
      </c>
      <c r="J68" s="1" t="n">
        <v>3.7</v>
      </c>
      <c r="K68" s="1" t="n">
        <v>3.6</v>
      </c>
      <c r="L68" s="1" t="n">
        <v>3.3</v>
      </c>
      <c r="M68" s="1" t="n">
        <v>3.9</v>
      </c>
      <c r="N68" s="1" t="n">
        <v>3.2</v>
      </c>
      <c r="O68" s="1" t="n">
        <v>2000</v>
      </c>
      <c r="P68" s="1" t="n">
        <v>500</v>
      </c>
      <c r="Q68" s="1" t="n">
        <v>5000</v>
      </c>
      <c r="R68" s="1" t="s">
        <v>430</v>
      </c>
      <c r="S68" s="5" t="s">
        <v>46</v>
      </c>
      <c r="T68" s="1" t="s">
        <v>75</v>
      </c>
      <c r="U68" s="1" t="s">
        <v>431</v>
      </c>
      <c r="V68" s="1" t="s">
        <v>432</v>
      </c>
      <c r="W68" s="1" t="s">
        <v>433</v>
      </c>
      <c r="X68" s="1" t="s">
        <v>434</v>
      </c>
      <c r="Y68" s="1" t="n">
        <v>15.2</v>
      </c>
      <c r="Z68" s="1" t="s">
        <v>435</v>
      </c>
      <c r="AA68" s="1" t="n">
        <v>13</v>
      </c>
      <c r="AB68" s="1" t="n">
        <v>2.9</v>
      </c>
      <c r="AC68" s="1" t="n">
        <v>2</v>
      </c>
      <c r="AD68" s="1" t="n">
        <v>3</v>
      </c>
      <c r="AE68" s="1" t="n">
        <v>21</v>
      </c>
      <c r="AF68" s="1" t="n">
        <v>-21</v>
      </c>
      <c r="AG68" s="1" t="n">
        <v>146</v>
      </c>
    </row>
    <row r="69" s="1" customFormat="true" ht="15" hidden="true" customHeight="false" outlineLevel="0" collapsed="false">
      <c r="A69" s="4" t="s">
        <v>427</v>
      </c>
      <c r="B69" s="4" t="s">
        <v>436</v>
      </c>
      <c r="C69" s="4" t="n">
        <v>3.8</v>
      </c>
      <c r="D69" s="3" t="n">
        <v>2200</v>
      </c>
      <c r="E69" s="4" t="n">
        <v>6</v>
      </c>
      <c r="F69" s="4" t="n">
        <f aca="false">ROUND((C69-AVERAGE(C2:C267))/AVERAGE(C2:C267) * 100,0)</f>
        <v>3</v>
      </c>
      <c r="G69" s="4" t="s">
        <v>437</v>
      </c>
      <c r="H69" s="4" t="n">
        <v>3.8</v>
      </c>
      <c r="I69" s="4" t="n">
        <v>3.7</v>
      </c>
      <c r="J69" s="4" t="n">
        <v>3.9</v>
      </c>
      <c r="K69" s="4" t="n">
        <v>3.6</v>
      </c>
      <c r="L69" s="4" t="n">
        <v>3.7</v>
      </c>
      <c r="M69" s="4" t="n">
        <v>3.1</v>
      </c>
      <c r="N69" s="4" t="n">
        <v>3.1</v>
      </c>
      <c r="O69" s="4" t="n">
        <v>1975</v>
      </c>
      <c r="P69" s="3" t="n">
        <v>23000</v>
      </c>
      <c r="Q69" s="3" t="n">
        <v>228000</v>
      </c>
      <c r="R69" s="4" t="s">
        <v>438</v>
      </c>
      <c r="S69" s="3" t="s">
        <v>157</v>
      </c>
      <c r="T69" s="4" t="s">
        <v>46</v>
      </c>
      <c r="U69" s="4" t="s">
        <v>439</v>
      </c>
      <c r="V69" s="4" t="s">
        <v>440</v>
      </c>
      <c r="W69" s="4" t="s">
        <v>441</v>
      </c>
      <c r="X69" s="4" t="s">
        <v>41</v>
      </c>
      <c r="Y69" s="4" t="n">
        <v>59.7</v>
      </c>
      <c r="Z69" s="4" t="s">
        <v>442</v>
      </c>
      <c r="AA69" s="4" t="n">
        <v>13</v>
      </c>
      <c r="AB69" s="3" t="n">
        <v>5.3</v>
      </c>
      <c r="AC69" s="4" t="n">
        <v>-1</v>
      </c>
      <c r="AD69" s="4" t="n">
        <v>-4</v>
      </c>
      <c r="AE69" s="4" t="n">
        <v>-7</v>
      </c>
      <c r="AF69" s="3" t="n">
        <v>-31</v>
      </c>
      <c r="AG69" s="3" t="n">
        <v>20006</v>
      </c>
    </row>
    <row r="70" s="1" customFormat="true" ht="15" hidden="true" customHeight="false" outlineLevel="0" collapsed="false">
      <c r="A70" s="1" t="s">
        <v>427</v>
      </c>
      <c r="B70" s="1" t="s">
        <v>443</v>
      </c>
      <c r="C70" s="1" t="n">
        <v>4.1</v>
      </c>
      <c r="D70" s="1" t="n">
        <v>88</v>
      </c>
      <c r="E70" s="1" t="n">
        <v>14</v>
      </c>
      <c r="F70" s="1" t="n">
        <f aca="false">ROUND((C70-AVERAGE(C2:C268))/AVERAGE(C2:C268) * 100,0)</f>
        <v>11</v>
      </c>
      <c r="G70" s="1" t="s">
        <v>444</v>
      </c>
      <c r="H70" s="1" t="n">
        <v>4</v>
      </c>
      <c r="I70" s="1" t="n">
        <v>3.5</v>
      </c>
      <c r="J70" s="1" t="n">
        <v>3.9</v>
      </c>
      <c r="K70" s="1" t="n">
        <v>3.8</v>
      </c>
      <c r="L70" s="1" t="n">
        <v>4</v>
      </c>
      <c r="M70" s="1" t="n">
        <v>3.7</v>
      </c>
      <c r="N70" s="1" t="n">
        <v>3.5</v>
      </c>
      <c r="O70" s="1" t="n">
        <v>2020</v>
      </c>
      <c r="P70" s="1" t="n">
        <v>200</v>
      </c>
      <c r="Q70" s="1" t="n">
        <v>500</v>
      </c>
      <c r="R70" s="1" t="s">
        <v>445</v>
      </c>
      <c r="S70" s="1" t="s">
        <v>213</v>
      </c>
      <c r="U70" s="1" t="s">
        <v>446</v>
      </c>
      <c r="V70" s="1" t="s">
        <v>447</v>
      </c>
      <c r="W70" s="1" t="s">
        <v>448</v>
      </c>
      <c r="X70" s="1" t="s">
        <v>449</v>
      </c>
      <c r="Y70" s="1" t="n">
        <v>8.7</v>
      </c>
      <c r="Z70" s="1" t="s">
        <v>450</v>
      </c>
      <c r="AA70" s="1" t="n">
        <v>13</v>
      </c>
      <c r="AB70" s="1" t="n">
        <v>1.7</v>
      </c>
      <c r="AC70" s="1" t="n">
        <v>11</v>
      </c>
      <c r="AD70" s="1" t="n">
        <v>31</v>
      </c>
      <c r="AE70" s="1" t="n">
        <v>69</v>
      </c>
      <c r="AF70" s="1" t="n">
        <v>-14</v>
      </c>
      <c r="AG70" s="1" t="n">
        <v>148</v>
      </c>
    </row>
    <row r="71" s="1" customFormat="true" ht="18.9" hidden="true" customHeight="true" outlineLevel="0" collapsed="false">
      <c r="A71" s="4" t="s">
        <v>451</v>
      </c>
      <c r="B71" s="4" t="s">
        <v>452</v>
      </c>
      <c r="C71" s="4" t="n">
        <v>3.3</v>
      </c>
      <c r="D71" s="3" t="n">
        <v>282</v>
      </c>
      <c r="E71" s="4" t="n">
        <v>-8</v>
      </c>
      <c r="F71" s="3" t="n">
        <f aca="false">ROUND((C71-AVERAGE(C2:C269))/AVERAGE(C2:C269) * 100,0)</f>
        <v>-11</v>
      </c>
      <c r="G71" s="4" t="s">
        <v>453</v>
      </c>
      <c r="H71" s="4" t="n">
        <v>3.3</v>
      </c>
      <c r="I71" s="4" t="n">
        <v>3.3</v>
      </c>
      <c r="J71" s="4" t="n">
        <v>3.6</v>
      </c>
      <c r="K71" s="4" t="n">
        <v>2.9</v>
      </c>
      <c r="L71" s="4" t="n">
        <v>3</v>
      </c>
      <c r="M71" s="4" t="n">
        <v>3</v>
      </c>
      <c r="N71" s="4" t="n">
        <v>3</v>
      </c>
      <c r="O71" s="4" t="n">
        <v>1956</v>
      </c>
      <c r="P71" s="3" t="n">
        <v>1500</v>
      </c>
      <c r="Q71" s="3" t="n">
        <v>3800</v>
      </c>
      <c r="R71" s="4" t="s">
        <v>454</v>
      </c>
      <c r="S71" s="3" t="s">
        <v>157</v>
      </c>
      <c r="T71" s="4" t="s">
        <v>46</v>
      </c>
      <c r="U71" s="4" t="s">
        <v>455</v>
      </c>
      <c r="V71" s="4" t="s">
        <v>456</v>
      </c>
      <c r="W71" s="4" t="s">
        <v>457</v>
      </c>
      <c r="X71" s="4" t="s">
        <v>41</v>
      </c>
      <c r="Y71" s="4" t="n">
        <v>45.6</v>
      </c>
      <c r="Z71" s="4" t="s">
        <v>458</v>
      </c>
      <c r="AA71" s="4" t="n">
        <v>13</v>
      </c>
      <c r="AB71" s="3" t="n">
        <v>7</v>
      </c>
      <c r="AC71" s="4" t="n">
        <v>0</v>
      </c>
      <c r="AD71" s="4" t="n">
        <v>-4</v>
      </c>
      <c r="AE71" s="4" t="n">
        <v>1</v>
      </c>
      <c r="AF71" s="3" t="n">
        <v>-19</v>
      </c>
      <c r="AG71" s="3" t="n">
        <v>148</v>
      </c>
    </row>
    <row r="72" s="1" customFormat="true" ht="15" hidden="true" customHeight="false" outlineLevel="0" collapsed="false">
      <c r="A72" s="1" t="s">
        <v>451</v>
      </c>
      <c r="B72" s="1" t="s">
        <v>459</v>
      </c>
      <c r="C72" s="1" t="n">
        <v>3.8</v>
      </c>
      <c r="D72" s="1" t="n">
        <v>1500</v>
      </c>
      <c r="E72" s="1" t="n">
        <v>6</v>
      </c>
      <c r="F72" s="1" t="n">
        <f aca="false">ROUND((C72-AVERAGE(C2:C270))/AVERAGE(C2:C270) * 100,0)</f>
        <v>3</v>
      </c>
      <c r="G72" s="1" t="s">
        <v>460</v>
      </c>
      <c r="H72" s="1" t="n">
        <v>3.5</v>
      </c>
      <c r="I72" s="1" t="n">
        <v>3.6</v>
      </c>
      <c r="J72" s="1" t="n">
        <v>3.5</v>
      </c>
      <c r="K72" s="1" t="n">
        <v>3.6</v>
      </c>
      <c r="L72" s="1" t="n">
        <v>3.9</v>
      </c>
      <c r="M72" s="1" t="n">
        <v>3.3</v>
      </c>
      <c r="N72" s="1" t="n">
        <v>3.6</v>
      </c>
      <c r="O72" s="1" t="n">
        <v>2000</v>
      </c>
      <c r="P72" s="1" t="n">
        <v>2000</v>
      </c>
      <c r="Q72" s="1" t="n">
        <v>3200</v>
      </c>
      <c r="R72" s="1" t="s">
        <v>461</v>
      </c>
      <c r="S72" s="5" t="s">
        <v>157</v>
      </c>
      <c r="U72" s="1" t="s">
        <v>462</v>
      </c>
      <c r="V72" s="1" t="s">
        <v>463</v>
      </c>
      <c r="W72" s="1" t="s">
        <v>464</v>
      </c>
      <c r="X72" s="1" t="s">
        <v>465</v>
      </c>
      <c r="Y72" s="1" t="n">
        <v>27</v>
      </c>
      <c r="Z72" s="1" t="s">
        <v>466</v>
      </c>
      <c r="AA72" s="1" t="n">
        <v>13</v>
      </c>
      <c r="AB72" s="1" t="n">
        <v>4.3</v>
      </c>
      <c r="AC72" s="1" t="n">
        <v>-2</v>
      </c>
      <c r="AD72" s="1" t="n">
        <v>-5</v>
      </c>
      <c r="AE72" s="1" t="n">
        <v>-11</v>
      </c>
      <c r="AF72" s="1" t="n">
        <v>-38</v>
      </c>
      <c r="AG72" s="1" t="n">
        <v>159</v>
      </c>
    </row>
    <row r="73" s="1" customFormat="true" ht="15" hidden="true" customHeight="false" outlineLevel="0" collapsed="false">
      <c r="A73" s="4" t="s">
        <v>451</v>
      </c>
      <c r="B73" s="4" t="s">
        <v>467</v>
      </c>
      <c r="C73" s="4" t="n">
        <v>3.9</v>
      </c>
      <c r="D73" s="3" t="n">
        <v>314</v>
      </c>
      <c r="E73" s="4" t="n">
        <v>8</v>
      </c>
      <c r="F73" s="3" t="n">
        <f aca="false">ROUND((C73-AVERAGE(C2:C271))/AVERAGE(C2:C271) * 100,0)</f>
        <v>6</v>
      </c>
      <c r="G73" s="4" t="s">
        <v>468</v>
      </c>
      <c r="H73" s="4" t="n">
        <v>4</v>
      </c>
      <c r="I73" s="4" t="n">
        <v>4</v>
      </c>
      <c r="J73" s="4" t="n">
        <v>4.2</v>
      </c>
      <c r="K73" s="4" t="n">
        <v>3.7</v>
      </c>
      <c r="L73" s="4" t="n">
        <v>3.6</v>
      </c>
      <c r="M73" s="4" t="n">
        <v>2.9</v>
      </c>
      <c r="N73" s="4" t="n">
        <v>3.3</v>
      </c>
      <c r="O73" s="4" t="n">
        <v>1960</v>
      </c>
      <c r="P73" s="3" t="n">
        <v>1700</v>
      </c>
      <c r="Q73" s="3" t="n">
        <v>6300</v>
      </c>
      <c r="R73" s="4" t="s">
        <v>469</v>
      </c>
      <c r="S73" s="3" t="s">
        <v>157</v>
      </c>
      <c r="T73" s="4" t="s">
        <v>46</v>
      </c>
      <c r="U73" s="4" t="s">
        <v>470</v>
      </c>
      <c r="V73" s="4" t="s">
        <v>471</v>
      </c>
      <c r="W73" s="4" t="s">
        <v>472</v>
      </c>
      <c r="X73" s="4" t="s">
        <v>41</v>
      </c>
      <c r="Y73" s="4" t="n">
        <v>48.7</v>
      </c>
      <c r="Z73" s="4" t="s">
        <v>473</v>
      </c>
      <c r="AA73" s="4" t="n">
        <v>13</v>
      </c>
      <c r="AB73" s="3" t="n">
        <v>9.6</v>
      </c>
      <c r="AC73" s="4" t="n">
        <v>-4</v>
      </c>
      <c r="AD73" s="4" t="n">
        <v>-7</v>
      </c>
      <c r="AE73" s="4" t="n">
        <v>-9</v>
      </c>
      <c r="AF73" s="3" t="n">
        <v>1</v>
      </c>
      <c r="AG73" s="3" t="n">
        <v>360</v>
      </c>
    </row>
    <row r="74" s="1" customFormat="true" ht="15" hidden="true" customHeight="false" outlineLevel="0" collapsed="false">
      <c r="A74" s="1" t="s">
        <v>474</v>
      </c>
      <c r="B74" s="1" t="s">
        <v>475</v>
      </c>
      <c r="C74" s="1" t="n">
        <v>3.6</v>
      </c>
      <c r="D74" s="1" t="n">
        <v>12300</v>
      </c>
      <c r="E74" s="1" t="n">
        <v>0</v>
      </c>
      <c r="F74" s="1" t="n">
        <f aca="false">ROUND((C74-AVERAGE(C2:C272))/AVERAGE(C2:C272) * 100,0)</f>
        <v>-2</v>
      </c>
      <c r="G74" s="1" t="s">
        <v>476</v>
      </c>
      <c r="H74" s="1" t="n">
        <v>3.5</v>
      </c>
      <c r="I74" s="1" t="n">
        <v>3</v>
      </c>
      <c r="J74" s="1" t="n">
        <v>3.8</v>
      </c>
      <c r="K74" s="1" t="n">
        <v>3.4</v>
      </c>
      <c r="L74" s="1" t="n">
        <v>3.5</v>
      </c>
      <c r="M74" s="1" t="n">
        <v>3.5</v>
      </c>
      <c r="N74" s="1" t="n">
        <v>2.6</v>
      </c>
      <c r="O74" s="1" t="n">
        <v>2017</v>
      </c>
      <c r="P74" s="1" t="n">
        <v>43000</v>
      </c>
      <c r="Q74" s="1" t="n">
        <v>120000</v>
      </c>
      <c r="R74" s="1" t="s">
        <v>477</v>
      </c>
      <c r="S74" s="5" t="s">
        <v>46</v>
      </c>
      <c r="U74" s="1" t="s">
        <v>478</v>
      </c>
      <c r="V74" s="1" t="s">
        <v>479</v>
      </c>
      <c r="W74" s="1" t="s">
        <v>480</v>
      </c>
      <c r="X74" s="1" t="s">
        <v>41</v>
      </c>
      <c r="Y74" s="1" t="n">
        <v>27.6</v>
      </c>
      <c r="Z74" s="1" t="s">
        <v>481</v>
      </c>
      <c r="AA74" s="1" t="n">
        <v>13</v>
      </c>
      <c r="AB74" s="1" t="n">
        <v>4.8</v>
      </c>
      <c r="AC74" s="1" t="n">
        <v>0</v>
      </c>
      <c r="AD74" s="1" t="n">
        <v>1</v>
      </c>
      <c r="AE74" s="1" t="n">
        <v>1</v>
      </c>
      <c r="AF74" s="1" t="n">
        <v>-32</v>
      </c>
      <c r="AG74" s="1" t="n">
        <v>4050</v>
      </c>
    </row>
    <row r="75" s="1" customFormat="true" ht="15" hidden="true" customHeight="false" outlineLevel="0" collapsed="false">
      <c r="A75" s="4" t="s">
        <v>474</v>
      </c>
      <c r="B75" s="4" t="s">
        <v>482</v>
      </c>
      <c r="C75" s="4" t="n">
        <v>3.6</v>
      </c>
      <c r="D75" s="3" t="n">
        <v>856</v>
      </c>
      <c r="E75" s="4" t="n">
        <v>0</v>
      </c>
      <c r="F75" s="4" t="n">
        <f aca="false">ROUND((C75-AVERAGE(C2:C273))/AVERAGE(C2:C273) * 100,0)</f>
        <v>-2</v>
      </c>
      <c r="G75" s="4" t="s">
        <v>483</v>
      </c>
      <c r="H75" s="4" t="n">
        <v>3.5</v>
      </c>
      <c r="I75" s="4" t="n">
        <v>3.4</v>
      </c>
      <c r="J75" s="4" t="n">
        <v>3.9</v>
      </c>
      <c r="K75" s="4" t="n">
        <v>3.5</v>
      </c>
      <c r="L75" s="4" t="n">
        <v>3.5</v>
      </c>
      <c r="M75" s="4" t="n">
        <v>3.1</v>
      </c>
      <c r="N75" s="4" t="n">
        <v>2.7</v>
      </c>
      <c r="O75" s="4" t="n">
        <v>2000</v>
      </c>
      <c r="P75" s="3" t="n">
        <v>2500</v>
      </c>
      <c r="Q75" s="3" t="n">
        <v>17000</v>
      </c>
      <c r="R75" s="4" t="s">
        <v>484</v>
      </c>
      <c r="S75" s="3" t="s">
        <v>46</v>
      </c>
      <c r="T75" s="4"/>
      <c r="U75" s="4" t="s">
        <v>485</v>
      </c>
      <c r="V75" s="4" t="s">
        <v>486</v>
      </c>
      <c r="W75" s="4" t="s">
        <v>487</v>
      </c>
      <c r="X75" s="4" t="s">
        <v>41</v>
      </c>
      <c r="Y75" s="4" t="n">
        <v>31.6</v>
      </c>
      <c r="Z75" s="4" t="s">
        <v>488</v>
      </c>
      <c r="AA75" s="4" t="n">
        <v>13</v>
      </c>
      <c r="AB75" s="3" t="n">
        <v>4.7</v>
      </c>
      <c r="AC75" s="3" t="n">
        <v>0</v>
      </c>
      <c r="AD75" s="4" t="n">
        <v>-2</v>
      </c>
      <c r="AE75" s="4" t="n">
        <v>-8</v>
      </c>
      <c r="AF75" s="3" t="n">
        <v>-54</v>
      </c>
      <c r="AG75" s="3" t="n">
        <v>392</v>
      </c>
    </row>
    <row r="76" s="1" customFormat="true" ht="15" hidden="true" customHeight="false" outlineLevel="0" collapsed="false">
      <c r="A76" s="1" t="s">
        <v>489</v>
      </c>
      <c r="B76" s="1" t="s">
        <v>490</v>
      </c>
      <c r="C76" s="1" t="n">
        <v>5</v>
      </c>
      <c r="D76" s="1" t="n">
        <v>1</v>
      </c>
      <c r="E76" s="1" t="s">
        <v>147</v>
      </c>
      <c r="F76" s="1" t="n">
        <f aca="false">ROUND((C76-AVERAGE(C2:C274))/AVERAGE(C2:C274) * 100,0)</f>
        <v>36</v>
      </c>
      <c r="G76" s="1" t="s">
        <v>491</v>
      </c>
      <c r="H76" s="1" t="n">
        <v>5</v>
      </c>
      <c r="I76" s="1" t="n">
        <v>5</v>
      </c>
      <c r="J76" s="1" t="n">
        <v>5</v>
      </c>
      <c r="K76" s="1" t="n">
        <v>5</v>
      </c>
      <c r="L76" s="1" t="n">
        <v>5</v>
      </c>
      <c r="M76" s="1" t="n">
        <v>5</v>
      </c>
      <c r="N76" s="1" t="n">
        <v>5</v>
      </c>
      <c r="O76" s="1" t="n">
        <v>2020</v>
      </c>
      <c r="P76" s="1" t="n">
        <v>30</v>
      </c>
      <c r="Q76" s="1" t="n">
        <v>30</v>
      </c>
      <c r="R76" s="1" t="s">
        <v>492</v>
      </c>
      <c r="S76" s="5" t="s">
        <v>213</v>
      </c>
      <c r="U76" s="1" t="s">
        <v>493</v>
      </c>
      <c r="V76" s="1" t="s">
        <v>494</v>
      </c>
      <c r="W76" s="1" t="s">
        <v>495</v>
      </c>
      <c r="X76" s="1" t="s">
        <v>496</v>
      </c>
      <c r="Y76" s="1" t="n">
        <v>2.2</v>
      </c>
      <c r="Z76" s="1" t="s">
        <v>497</v>
      </c>
      <c r="AA76" s="1" t="n">
        <v>13</v>
      </c>
      <c r="AB76" s="1" t="n">
        <v>1.4</v>
      </c>
      <c r="AC76" s="1" t="n">
        <v>30</v>
      </c>
      <c r="AD76" s="1" t="n">
        <v>37</v>
      </c>
      <c r="AE76" s="1" t="n">
        <v>100</v>
      </c>
      <c r="AF76" s="5" t="s">
        <v>147</v>
      </c>
      <c r="AG76" s="5" t="s">
        <v>147</v>
      </c>
    </row>
    <row r="77" s="1" customFormat="true" ht="15" hidden="true" customHeight="false" outlineLevel="0" collapsed="false">
      <c r="A77" s="3" t="s">
        <v>489</v>
      </c>
      <c r="B77" s="3" t="s">
        <v>498</v>
      </c>
      <c r="C77" s="3" t="n">
        <v>3.8</v>
      </c>
      <c r="D77" s="3" t="n">
        <v>461</v>
      </c>
      <c r="E77" s="3" t="n">
        <v>6</v>
      </c>
      <c r="F77" s="3" t="n">
        <f aca="false">ROUND((C77-AVERAGE(C2:C275))/AVERAGE(C2:C275) * 100,0)</f>
        <v>3</v>
      </c>
      <c r="G77" s="3" t="s">
        <v>499</v>
      </c>
      <c r="H77" s="3" t="n">
        <v>3.6</v>
      </c>
      <c r="I77" s="3" t="n">
        <v>3.4</v>
      </c>
      <c r="J77" s="3" t="n">
        <v>3.8</v>
      </c>
      <c r="K77" s="3" t="n">
        <v>3.8</v>
      </c>
      <c r="L77" s="3" t="n">
        <v>4</v>
      </c>
      <c r="M77" s="3" t="n">
        <v>3.8</v>
      </c>
      <c r="N77" s="3" t="n">
        <v>3.4</v>
      </c>
      <c r="O77" s="3" t="n">
        <v>1994</v>
      </c>
      <c r="P77" s="3" t="n">
        <v>2200</v>
      </c>
      <c r="Q77" s="3" t="n">
        <v>2600</v>
      </c>
      <c r="R77" s="3" t="s">
        <v>500</v>
      </c>
      <c r="S77" s="3" t="s">
        <v>46</v>
      </c>
      <c r="T77" s="3" t="s">
        <v>157</v>
      </c>
      <c r="U77" s="3" t="s">
        <v>501</v>
      </c>
      <c r="V77" s="3" t="s">
        <v>502</v>
      </c>
      <c r="W77" s="3" t="s">
        <v>503</v>
      </c>
      <c r="X77" s="3" t="s">
        <v>504</v>
      </c>
      <c r="Y77" s="3" t="n">
        <v>24.9</v>
      </c>
      <c r="Z77" s="3" t="s">
        <v>505</v>
      </c>
      <c r="AA77" s="3" t="n">
        <v>13</v>
      </c>
      <c r="AB77" s="3" t="n">
        <v>6.7</v>
      </c>
      <c r="AC77" s="3" t="n">
        <v>4</v>
      </c>
      <c r="AD77" s="3" t="n">
        <v>4</v>
      </c>
      <c r="AE77" s="3" t="n">
        <v>3</v>
      </c>
      <c r="AF77" s="3" t="n">
        <v>83</v>
      </c>
      <c r="AG77" s="3" t="n">
        <v>198</v>
      </c>
    </row>
    <row r="78" s="1" customFormat="true" ht="15" hidden="false" customHeight="false" outlineLevel="0" collapsed="false"/>
    <row r="79" s="1" customFormat="true" ht="15" hidden="false" customHeight="false" outlineLevel="0" collapsed="false"/>
    <row r="80" s="1" customFormat="true" ht="15" hidden="false" customHeight="false" outlineLevel="0" collapsed="false"/>
    <row r="81" s="1" customFormat="true" ht="15" hidden="false" customHeight="false" outlineLevel="0" collapsed="false"/>
    <row r="82" s="1" customFormat="true" ht="15" hidden="false" customHeight="false" outlineLevel="0" collapsed="false"/>
    <row r="83" s="1" customFormat="true" ht="15" hidden="false" customHeight="false" outlineLevel="0" collapsed="false"/>
    <row r="84" s="1" customFormat="true" ht="15" hidden="false" customHeight="false" outlineLevel="0" collapsed="false"/>
    <row r="85" s="1" customFormat="true" ht="15" hidden="false" customHeight="false" outlineLevel="0" collapsed="false"/>
    <row r="86" s="1" customFormat="true" ht="15" hidden="false" customHeight="false" outlineLevel="0" collapsed="false"/>
    <row r="87" s="1" customFormat="true" ht="15" hidden="false" customHeight="false" outlineLevel="0" collapsed="false"/>
    <row r="88" s="1" customFormat="true" ht="15" hidden="false" customHeight="false" outlineLevel="0" collapsed="false"/>
    <row r="89" s="1" customFormat="true" ht="15" hidden="false" customHeight="false" outlineLevel="0" collapsed="false"/>
    <row r="90" s="1" customFormat="true" ht="15" hidden="false" customHeight="false" outlineLevel="0" collapsed="false"/>
    <row r="91" s="1" customFormat="true" ht="15" hidden="false" customHeight="false" outlineLevel="0" collapsed="false"/>
    <row r="92" s="1" customFormat="true" ht="15" hidden="false" customHeight="false" outlineLevel="0" collapsed="false"/>
    <row r="93" s="1" customFormat="true" ht="15" hidden="false" customHeight="false" outlineLevel="0" collapsed="false"/>
    <row r="94" s="1" customFormat="true" ht="15" hidden="false" customHeight="false" outlineLevel="0" collapsed="false"/>
    <row r="95" s="1" customFormat="true" ht="15" hidden="false" customHeight="false" outlineLevel="0" collapsed="false"/>
    <row r="96" s="1" customFormat="true" ht="15" hidden="false" customHeight="false" outlineLevel="0" collapsed="false"/>
    <row r="97" s="1" customFormat="true" ht="15" hidden="false" customHeight="false" outlineLevel="0" collapsed="false"/>
    <row r="98" s="1" customFormat="true" ht="15" hidden="false" customHeight="false" outlineLevel="0" collapsed="false"/>
    <row r="99" s="1" customFormat="true" ht="15" hidden="false" customHeight="false" outlineLevel="0" collapsed="false"/>
    <row r="100" s="1" customFormat="true" ht="15" hidden="false" customHeight="false" outlineLevel="0" collapsed="false"/>
    <row r="101" s="1" customFormat="true" ht="15" hidden="false" customHeight="false" outlineLevel="0" collapsed="false"/>
    <row r="102" s="1" customFormat="true" ht="15" hidden="false" customHeight="false" outlineLevel="0" collapsed="false"/>
    <row r="103" s="1" customFormat="true" ht="15" hidden="false" customHeight="false" outlineLevel="0" collapsed="false"/>
    <row r="104" s="1" customFormat="true" ht="15" hidden="false" customHeight="false" outlineLevel="0" collapsed="false"/>
    <row r="105" s="1" customFormat="true" ht="15" hidden="false" customHeight="false" outlineLevel="0" collapsed="false"/>
    <row r="106" s="1" customFormat="true" ht="15" hidden="false" customHeight="false" outlineLevel="0" collapsed="false"/>
    <row r="107" s="1" customFormat="true" ht="15" hidden="false" customHeight="false" outlineLevel="0" collapsed="false"/>
    <row r="108" s="1" customFormat="true" ht="15" hidden="false" customHeight="false" outlineLevel="0" collapsed="false"/>
    <row r="109" s="1" customFormat="true" ht="15" hidden="false" customHeight="false" outlineLevel="0" collapsed="false"/>
    <row r="110" s="1" customFormat="true" ht="15" hidden="false" customHeight="false" outlineLevel="0" collapsed="false"/>
    <row r="111" s="1" customFormat="true" ht="15" hidden="false" customHeight="false" outlineLevel="0" collapsed="false"/>
    <row r="112" s="1" customFormat="true" ht="15" hidden="false" customHeight="false" outlineLevel="0" collapsed="false"/>
    <row r="113" s="1" customFormat="true" ht="15" hidden="false" customHeight="false" outlineLevel="0" collapsed="false"/>
    <row r="114" s="1" customFormat="true" ht="15" hidden="false" customHeight="false" outlineLevel="0" collapsed="false"/>
    <row r="115" s="1" customFormat="true" ht="15" hidden="false" customHeight="false" outlineLevel="0" collapsed="false"/>
    <row r="116" s="1" customFormat="true" ht="15" hidden="false" customHeight="false" outlineLevel="0" collapsed="false"/>
    <row r="117" s="1" customFormat="true" ht="15" hidden="false" customHeight="false" outlineLevel="0" collapsed="false"/>
    <row r="118" s="1" customFormat="true" ht="15" hidden="false" customHeight="false" outlineLevel="0" collapsed="false"/>
    <row r="119" s="1" customFormat="true" ht="15" hidden="false" customHeight="false" outlineLevel="0" collapsed="false"/>
    <row r="120" s="1" customFormat="true" ht="15" hidden="false" customHeight="false" outlineLevel="0" collapsed="false"/>
    <row r="121" s="1" customFormat="true" ht="15" hidden="false" customHeight="false" outlineLevel="0" collapsed="false"/>
    <row r="122" s="1" customFormat="true" ht="15" hidden="false" customHeight="false" outlineLevel="0" collapsed="false"/>
    <row r="123" s="1" customFormat="true" ht="15" hidden="false" customHeight="false" outlineLevel="0" collapsed="false"/>
    <row r="124" s="1" customFormat="true" ht="15" hidden="false" customHeight="false" outlineLevel="0" collapsed="false"/>
    <row r="125" s="1" customFormat="true" ht="15" hidden="false" customHeight="false" outlineLevel="0" collapsed="false"/>
    <row r="126" s="1" customFormat="true" ht="15" hidden="false" customHeight="false" outlineLevel="0" collapsed="false"/>
    <row r="127" s="1" customFormat="true" ht="15" hidden="false" customHeight="false" outlineLevel="0" collapsed="false"/>
    <row r="128" s="1" customFormat="true" ht="15" hidden="false" customHeight="false" outlineLevel="0" collapsed="false"/>
    <row r="129" s="1" customFormat="true" ht="15" hidden="false" customHeight="false" outlineLevel="0" collapsed="false"/>
    <row r="130" s="1" customFormat="true" ht="15" hidden="false" customHeight="false" outlineLevel="0" collapsed="false"/>
    <row r="131" s="1" customFormat="true" ht="15" hidden="false" customHeight="false" outlineLevel="0" collapsed="false"/>
    <row r="132" s="1" customFormat="true" ht="15" hidden="false" customHeight="false" outlineLevel="0" collapsed="false"/>
    <row r="133" s="1" customFormat="true" ht="15" hidden="false" customHeight="false" outlineLevel="0" collapsed="false"/>
    <row r="134" s="1" customFormat="true" ht="15" hidden="false" customHeight="false" outlineLevel="0" collapsed="false"/>
    <row r="135" s="1" customFormat="true" ht="15" hidden="false" customHeight="false" outlineLevel="0" collapsed="false"/>
    <row r="136" s="1" customFormat="true" ht="15" hidden="false" customHeight="false" outlineLevel="0" collapsed="false"/>
    <row r="137" s="1" customFormat="true" ht="15" hidden="false" customHeight="false" outlineLevel="0" collapsed="false"/>
    <row r="138" s="1" customFormat="true" ht="15" hidden="false" customHeight="false" outlineLevel="0" collapsed="false"/>
    <row r="139" s="1" customFormat="true" ht="15" hidden="false" customHeight="false" outlineLevel="0" collapsed="false"/>
    <row r="140" s="1" customFormat="true" ht="15" hidden="false" customHeight="false" outlineLevel="0" collapsed="false"/>
    <row r="141" s="1" customFormat="true" ht="15" hidden="false" customHeight="false" outlineLevel="0" collapsed="false"/>
    <row r="142" s="1" customFormat="true" ht="15" hidden="false" customHeight="false" outlineLevel="0" collapsed="false"/>
    <row r="143" s="1" customFormat="true" ht="15" hidden="false" customHeight="false" outlineLevel="0" collapsed="false"/>
    <row r="144" s="1" customFormat="true" ht="15" hidden="false" customHeight="false" outlineLevel="0" collapsed="false"/>
    <row r="145" s="1" customFormat="true" ht="15" hidden="false" customHeight="false" outlineLevel="0" collapsed="false"/>
    <row r="146" s="1" customFormat="true" ht="15" hidden="false" customHeight="false" outlineLevel="0" collapsed="false"/>
    <row r="147" s="1" customFormat="true" ht="15" hidden="false" customHeight="false" outlineLevel="0" collapsed="false"/>
    <row r="148" s="1" customFormat="true" ht="15" hidden="false" customHeight="false" outlineLevel="0" collapsed="false"/>
    <row r="149" s="1" customFormat="true" ht="15" hidden="false" customHeight="false" outlineLevel="0" collapsed="false"/>
    <row r="150" s="1" customFormat="true" ht="15" hidden="false" customHeight="false" outlineLevel="0" collapsed="false"/>
    <row r="151" s="1" customFormat="true" ht="15" hidden="false" customHeight="false" outlineLevel="0" collapsed="false"/>
    <row r="152" s="1" customFormat="true" ht="15" hidden="false" customHeight="false" outlineLevel="0" collapsed="false"/>
    <row r="153" s="1" customFormat="true" ht="15" hidden="false" customHeight="false" outlineLevel="0" collapsed="false"/>
    <row r="154" s="1" customFormat="true" ht="15" hidden="false" customHeight="false" outlineLevel="0" collapsed="false"/>
    <row r="155" s="1" customFormat="true" ht="15" hidden="false" customHeight="false" outlineLevel="0" collapsed="false"/>
    <row r="156" s="1" customFormat="true" ht="15" hidden="false" customHeight="false" outlineLevel="0" collapsed="false"/>
    <row r="157" s="1" customFormat="true" ht="15" hidden="false" customHeight="false" outlineLevel="0" collapsed="false"/>
    <row r="158" s="1" customFormat="true" ht="15" hidden="false" customHeight="false" outlineLevel="0" collapsed="false"/>
    <row r="159" s="1" customFormat="true" ht="15" hidden="false" customHeight="false" outlineLevel="0" collapsed="false"/>
    <row r="160" s="1" customFormat="true" ht="15" hidden="false" customHeight="false" outlineLevel="0" collapsed="false"/>
    <row r="161" s="1" customFormat="true" ht="15" hidden="false" customHeight="false" outlineLevel="0" collapsed="false"/>
    <row r="162" s="1" customFormat="true" ht="15" hidden="false" customHeight="false" outlineLevel="0" collapsed="false"/>
    <row r="163" s="1" customFormat="true" ht="15" hidden="false" customHeight="false" outlineLevel="0" collapsed="false"/>
    <row r="164" s="1" customFormat="true" ht="15" hidden="false" customHeight="false" outlineLevel="0" collapsed="false"/>
    <row r="165" s="1" customFormat="true" ht="15" hidden="false" customHeight="false" outlineLevel="0" collapsed="false"/>
    <row r="166" s="1" customFormat="true" ht="15" hidden="false" customHeight="false" outlineLevel="0" collapsed="false"/>
    <row r="167" s="1" customFormat="true" ht="15" hidden="false" customHeight="false" outlineLevel="0" collapsed="false"/>
    <row r="168" s="1" customFormat="true" ht="15" hidden="false" customHeight="false" outlineLevel="0" collapsed="false"/>
    <row r="169" s="1" customFormat="true" ht="15" hidden="false" customHeight="false" outlineLevel="0" collapsed="false"/>
    <row r="170" s="1" customFormat="true" ht="15" hidden="false" customHeight="false" outlineLevel="0" collapsed="false"/>
    <row r="171" s="1" customFormat="true" ht="15" hidden="false" customHeight="false" outlineLevel="0" collapsed="false"/>
    <row r="172" s="1" customFormat="true" ht="15" hidden="false" customHeight="false" outlineLevel="0" collapsed="false"/>
    <row r="173" s="1" customFormat="true" ht="15" hidden="false" customHeight="false" outlineLevel="0" collapsed="false"/>
    <row r="174" s="1" customFormat="true" ht="15" hidden="false" customHeight="false" outlineLevel="0" collapsed="false"/>
    <row r="175" s="1" customFormat="true" ht="15" hidden="false" customHeight="false" outlineLevel="0" collapsed="false"/>
    <row r="176" s="1" customFormat="true" ht="15" hidden="false" customHeight="false" outlineLevel="0" collapsed="false"/>
    <row r="177" s="1" customFormat="true" ht="15" hidden="false" customHeight="false" outlineLevel="0" collapsed="false"/>
    <row r="178" s="1" customFormat="true" ht="15" hidden="false" customHeight="false" outlineLevel="0" collapsed="false"/>
    <row r="179" s="1" customFormat="true" ht="15" hidden="false" customHeight="false" outlineLevel="0" collapsed="false"/>
    <row r="180" s="1" customFormat="true" ht="15" hidden="false" customHeight="false" outlineLevel="0" collapsed="false"/>
    <row r="181" s="1" customFormat="true" ht="15" hidden="false" customHeight="false" outlineLevel="0" collapsed="false"/>
    <row r="182" s="1" customFormat="true" ht="15" hidden="false" customHeight="false" outlineLevel="0" collapsed="false"/>
    <row r="183" s="1" customFormat="true" ht="15" hidden="false" customHeight="false" outlineLevel="0" collapsed="false"/>
    <row r="184" s="1" customFormat="true" ht="15" hidden="false" customHeight="false" outlineLevel="0" collapsed="false"/>
    <row r="185" s="1" customFormat="true" ht="15" hidden="false" customHeight="false" outlineLevel="0" collapsed="false"/>
    <row r="186" s="1" customFormat="true" ht="15" hidden="false" customHeight="false" outlineLevel="0" collapsed="false"/>
    <row r="187" s="1" customFormat="true" ht="15" hidden="false" customHeight="false" outlineLevel="0" collapsed="false"/>
    <row r="188" s="1" customFormat="true" ht="15" hidden="false" customHeight="false" outlineLevel="0" collapsed="false"/>
    <row r="189" s="1" customFormat="true" ht="15" hidden="false" customHeight="false" outlineLevel="0" collapsed="false"/>
    <row r="190" s="1" customFormat="true" ht="15" hidden="false" customHeight="false" outlineLevel="0" collapsed="false"/>
    <row r="191" s="1" customFormat="true" ht="15" hidden="false" customHeight="false" outlineLevel="0" collapsed="false"/>
    <row r="192" s="1" customFormat="true" ht="15" hidden="false" customHeight="false" outlineLevel="0" collapsed="false"/>
    <row r="193" s="1" customFormat="true" ht="15" hidden="false" customHeight="false" outlineLevel="0" collapsed="false"/>
    <row r="194" s="1" customFormat="true" ht="15" hidden="false" customHeight="false" outlineLevel="0" collapsed="false"/>
    <row r="195" s="1" customFormat="true" ht="15" hidden="false" customHeight="false" outlineLevel="0" collapsed="false"/>
    <row r="196" s="1" customFormat="true" ht="15" hidden="false" customHeight="false" outlineLevel="0" collapsed="false"/>
    <row r="197" s="1" customFormat="true" ht="15" hidden="false" customHeight="false" outlineLevel="0" collapsed="false"/>
    <row r="198" s="1" customFormat="true" ht="15" hidden="false" customHeight="false" outlineLevel="0" collapsed="false"/>
    <row r="199" s="1" customFormat="true" ht="15" hidden="false" customHeight="false" outlineLevel="0" collapsed="false"/>
    <row r="200" s="1" customFormat="true" ht="15" hidden="false" customHeight="false" outlineLevel="0" collapsed="false"/>
    <row r="201" s="1" customFormat="true" ht="15" hidden="false" customHeight="false" outlineLevel="0" collapsed="false"/>
    <row r="202" s="1" customFormat="true" ht="15" hidden="false" customHeight="false" outlineLevel="0" collapsed="false"/>
    <row r="203" s="1" customFormat="true" ht="15" hidden="false" customHeight="false" outlineLevel="0" collapsed="false"/>
    <row r="204" s="1" customFormat="true" ht="15" hidden="false" customHeight="false" outlineLevel="0" collapsed="false"/>
    <row r="205" s="1" customFormat="true" ht="15" hidden="false" customHeight="false" outlineLevel="0" collapsed="false"/>
    <row r="206" s="1" customFormat="true" ht="15" hidden="false" customHeight="false" outlineLevel="0" collapsed="false"/>
    <row r="207" s="1" customFormat="true" ht="15" hidden="false" customHeight="false" outlineLevel="0" collapsed="false"/>
    <row r="208" s="1" customFormat="true" ht="15" hidden="false" customHeight="false" outlineLevel="0" collapsed="false"/>
    <row r="209" s="1" customFormat="true" ht="15" hidden="false" customHeight="false" outlineLevel="0" collapsed="false"/>
    <row r="210" s="1" customFormat="true" ht="15" hidden="false" customHeight="false" outlineLevel="0" collapsed="false"/>
    <row r="211" s="1" customFormat="true" ht="15" hidden="false" customHeight="false" outlineLevel="0" collapsed="false"/>
    <row r="212" s="1" customFormat="true" ht="15" hidden="false" customHeight="false" outlineLevel="0" collapsed="false"/>
    <row r="213" s="1" customFormat="true" ht="15" hidden="false" customHeight="false" outlineLevel="0" collapsed="false"/>
    <row r="214" s="1" customFormat="true" ht="15" hidden="false" customHeight="false" outlineLevel="0" collapsed="false"/>
    <row r="215" s="1" customFormat="true" ht="15" hidden="false" customHeight="false" outlineLevel="0" collapsed="false"/>
    <row r="216" s="1" customFormat="true" ht="15" hidden="false" customHeight="false" outlineLevel="0" collapsed="false"/>
    <row r="217" s="1" customFormat="true" ht="15" hidden="false" customHeight="false" outlineLevel="0" collapsed="false"/>
    <row r="218" s="1" customFormat="true" ht="15" hidden="false" customHeight="false" outlineLevel="0" collapsed="false"/>
    <row r="219" s="1" customFormat="true" ht="15" hidden="false" customHeight="false" outlineLevel="0" collapsed="false"/>
    <row r="220" s="1" customFormat="true" ht="15" hidden="false" customHeight="false" outlineLevel="0" collapsed="false"/>
    <row r="221" s="1" customFormat="true" ht="15" hidden="false" customHeight="false" outlineLevel="0" collapsed="false"/>
    <row r="222" s="1" customFormat="true" ht="15" hidden="false" customHeight="false" outlineLevel="0" collapsed="false"/>
    <row r="223" s="1" customFormat="true" ht="15" hidden="false" customHeight="false" outlineLevel="0" collapsed="false"/>
    <row r="224" s="1" customFormat="true" ht="15" hidden="false" customHeight="false" outlineLevel="0" collapsed="false"/>
    <row r="225" s="1" customFormat="true" ht="15" hidden="false" customHeight="false" outlineLevel="0" collapsed="false"/>
    <row r="226" s="1" customFormat="true" ht="15" hidden="false" customHeight="false" outlineLevel="0" collapsed="false"/>
    <row r="227" s="1" customFormat="true" ht="15" hidden="false" customHeight="false" outlineLevel="0" collapsed="false"/>
    <row r="228" s="1" customFormat="true" ht="15" hidden="false" customHeight="false" outlineLevel="0" collapsed="false"/>
    <row r="229" s="1" customFormat="true" ht="15" hidden="false" customHeight="false" outlineLevel="0" collapsed="false"/>
    <row r="230" s="1" customFormat="true" ht="15" hidden="false" customHeight="false" outlineLevel="0" collapsed="false"/>
    <row r="231" s="1" customFormat="true" ht="15" hidden="false" customHeight="false" outlineLevel="0" collapsed="false"/>
    <row r="232" s="1" customFormat="true" ht="15" hidden="false" customHeight="false" outlineLevel="0" collapsed="false"/>
    <row r="233" s="1" customFormat="true" ht="15" hidden="false" customHeight="false" outlineLevel="0" collapsed="false"/>
    <row r="234" s="1" customFormat="true" ht="15" hidden="false" customHeight="false" outlineLevel="0" collapsed="false"/>
    <row r="235" s="1" customFormat="true" ht="15" hidden="false" customHeight="false" outlineLevel="0" collapsed="false"/>
    <row r="236" s="1" customFormat="true" ht="15" hidden="false" customHeight="false" outlineLevel="0" collapsed="false"/>
    <row r="237" s="1" customFormat="true" ht="15" hidden="false" customHeight="false" outlineLevel="0" collapsed="false"/>
    <row r="238" s="1" customFormat="true" ht="15" hidden="false" customHeight="false" outlineLevel="0" collapsed="false"/>
    <row r="239" s="1" customFormat="true" ht="15" hidden="false" customHeight="false" outlineLevel="0" collapsed="false"/>
    <row r="240" s="1" customFormat="true" ht="15" hidden="false" customHeight="false" outlineLevel="0" collapsed="false"/>
    <row r="241" s="1" customFormat="true" ht="15" hidden="false" customHeight="false" outlineLevel="0" collapsed="false"/>
    <row r="242" s="1" customFormat="true" ht="15" hidden="false" customHeight="false" outlineLevel="0" collapsed="false"/>
    <row r="243" s="1" customFormat="true" ht="15" hidden="false" customHeight="false" outlineLevel="0" collapsed="false"/>
    <row r="244" s="1" customFormat="true" ht="15" hidden="false" customHeight="false" outlineLevel="0" collapsed="false"/>
    <row r="245" s="1" customFormat="true" ht="15" hidden="false" customHeight="false" outlineLevel="0" collapsed="false"/>
    <row r="246" s="1" customFormat="true" ht="15" hidden="false" customHeight="false" outlineLevel="0" collapsed="false"/>
    <row r="247" s="1" customFormat="true" ht="15" hidden="false" customHeight="false" outlineLevel="0" collapsed="false"/>
    <row r="248" s="1" customFormat="true" ht="15" hidden="false" customHeight="false" outlineLevel="0" collapsed="false"/>
    <row r="249" s="1" customFormat="true" ht="15" hidden="false" customHeight="false" outlineLevel="0" collapsed="false"/>
    <row r="250" s="1" customFormat="true" ht="15" hidden="false" customHeight="false" outlineLevel="0" collapsed="false"/>
    <row r="251" s="1" customFormat="true" ht="15" hidden="false" customHeight="false" outlineLevel="0" collapsed="false"/>
    <row r="252" s="1" customFormat="true" ht="15" hidden="false" customHeight="false" outlineLevel="0" collapsed="false"/>
    <row r="253" s="1" customFormat="true" ht="15" hidden="false" customHeight="false" outlineLevel="0" collapsed="false"/>
    <row r="254" s="1" customFormat="true" ht="15" hidden="false" customHeight="false" outlineLevel="0" collapsed="false"/>
    <row r="255" s="1" customFormat="true" ht="15" hidden="false" customHeight="false" outlineLevel="0" collapsed="false"/>
    <row r="256" s="1" customFormat="true" ht="15" hidden="false" customHeight="false" outlineLevel="0" collapsed="false"/>
    <row r="257" s="1" customFormat="true" ht="15" hidden="false" customHeight="false" outlineLevel="0" collapsed="false"/>
    <row r="258" s="1" customFormat="true" ht="15" hidden="false" customHeight="false" outlineLevel="0" collapsed="false"/>
    <row r="259" s="1" customFormat="true" ht="15" hidden="false" customHeight="false" outlineLevel="0" collapsed="false"/>
    <row r="260" s="1" customFormat="true" ht="15" hidden="false" customHeight="false" outlineLevel="0" collapsed="false"/>
    <row r="261" s="1" customFormat="true" ht="15" hidden="false" customHeight="false" outlineLevel="0" collapsed="false"/>
    <row r="262" s="1" customFormat="true" ht="15" hidden="false" customHeight="false" outlineLevel="0" collapsed="false"/>
    <row r="263" s="1" customFormat="true" ht="15" hidden="false" customHeight="false" outlineLevel="0" collapsed="false"/>
    <row r="264" s="1" customFormat="true" ht="15" hidden="false" customHeight="false" outlineLevel="0" collapsed="false"/>
    <row r="265" s="1" customFormat="true" ht="15" hidden="false" customHeight="false" outlineLevel="0" collapsed="false"/>
    <row r="266" s="1" customFormat="true" ht="15" hidden="false" customHeight="false" outlineLevel="0" collapsed="false"/>
    <row r="267" s="1" customFormat="true" ht="15" hidden="false" customHeight="false" outlineLevel="0" collapsed="false"/>
    <row r="268" s="1" customFormat="true" ht="15" hidden="false" customHeight="false" outlineLevel="0" collapsed="false"/>
    <row r="269" s="1" customFormat="true" ht="15" hidden="false" customHeight="false" outlineLevel="0" collapsed="false"/>
    <row r="270" s="1" customFormat="true" ht="15" hidden="false" customHeight="false" outlineLevel="0" collapsed="false"/>
    <row r="271" s="1" customFormat="true" ht="15" hidden="false" customHeight="false" outlineLevel="0" collapsed="false"/>
    <row r="272" s="1" customFormat="true" ht="15" hidden="false" customHeight="false" outlineLevel="0" collapsed="false"/>
    <row r="273" s="1" customFormat="true" ht="15" hidden="false" customHeight="false" outlineLevel="0" collapsed="false"/>
    <row r="274" s="1" customFormat="true" ht="15" hidden="false" customHeight="false" outlineLevel="0" collapsed="false"/>
    <row r="275" s="1" customFormat="true" ht="15" hidden="false" customHeight="false" outlineLevel="0" collapsed="false"/>
    <row r="276" s="1" customFormat="true" ht="15" hidden="false" customHeight="false" outlineLevel="0" collapsed="false"/>
    <row r="277" s="1" customFormat="true" ht="15" hidden="false" customHeight="false" outlineLevel="0" collapsed="false"/>
    <row r="278" s="1" customFormat="true" ht="15" hidden="false" customHeight="false" outlineLevel="0" collapsed="false"/>
    <row r="279" s="1" customFormat="true" ht="15" hidden="false" customHeight="false" outlineLevel="0" collapsed="false"/>
    <row r="280" s="1" customFormat="true" ht="15" hidden="false" customHeight="false" outlineLevel="0" collapsed="false"/>
    <row r="281" s="1" customFormat="true" ht="15" hidden="false" customHeight="false" outlineLevel="0" collapsed="false"/>
    <row r="282" s="1" customFormat="true" ht="15" hidden="false" customHeight="false" outlineLevel="0" collapsed="false"/>
    <row r="283" s="1" customFormat="true" ht="15" hidden="false" customHeight="false" outlineLevel="0" collapsed="false"/>
    <row r="284" s="1" customFormat="true" ht="15" hidden="false" customHeight="false" outlineLevel="0" collapsed="false"/>
    <row r="285" s="1" customFormat="true" ht="15" hidden="false" customHeight="false" outlineLevel="0" collapsed="false"/>
    <row r="286" s="1" customFormat="true" ht="15" hidden="false" customHeight="false" outlineLevel="0" collapsed="false"/>
    <row r="287" s="1" customFormat="true" ht="15" hidden="false" customHeight="false" outlineLevel="0" collapsed="false"/>
    <row r="288" s="1" customFormat="true" ht="15" hidden="false" customHeight="false" outlineLevel="0" collapsed="false"/>
    <row r="289" s="1" customFormat="true" ht="15" hidden="false" customHeight="false" outlineLevel="0" collapsed="false"/>
    <row r="290" s="1" customFormat="true" ht="15" hidden="false" customHeight="false" outlineLevel="0" collapsed="false"/>
    <row r="291" s="1" customFormat="true" ht="15" hidden="false" customHeight="false" outlineLevel="0" collapsed="false"/>
    <row r="292" s="1" customFormat="true" ht="15" hidden="false" customHeight="false" outlineLevel="0" collapsed="false"/>
    <row r="293" s="1" customFormat="true" ht="15" hidden="false" customHeight="false" outlineLevel="0" collapsed="false"/>
    <row r="294" s="1" customFormat="true" ht="15" hidden="false" customHeight="false" outlineLevel="0" collapsed="false"/>
    <row r="295" s="1" customFormat="true" ht="15" hidden="false" customHeight="false" outlineLevel="0" collapsed="false"/>
    <row r="296" s="1" customFormat="true" ht="15" hidden="false" customHeight="false" outlineLevel="0" collapsed="false"/>
    <row r="297" s="1" customFormat="true" ht="15" hidden="false" customHeight="false" outlineLevel="0" collapsed="false"/>
    <row r="298" s="1" customFormat="true" ht="15" hidden="false" customHeight="false" outlineLevel="0" collapsed="false"/>
    <row r="299" s="1" customFormat="true" ht="15" hidden="false" customHeight="false" outlineLevel="0" collapsed="false"/>
    <row r="300" s="1" customFormat="true" ht="15" hidden="false" customHeight="false" outlineLevel="0" collapsed="false"/>
    <row r="301" s="1" customFormat="true" ht="15" hidden="false" customHeight="false" outlineLevel="0" collapsed="false"/>
    <row r="302" s="1" customFormat="true" ht="15" hidden="false" customHeight="false" outlineLevel="0" collapsed="false"/>
    <row r="303" s="1" customFormat="true" ht="15" hidden="false" customHeight="false" outlineLevel="0" collapsed="false"/>
    <row r="304" s="1" customFormat="true" ht="15" hidden="false" customHeight="false" outlineLevel="0" collapsed="false"/>
    <row r="305" s="1" customFormat="true" ht="15" hidden="false" customHeight="false" outlineLevel="0" collapsed="false"/>
    <row r="306" s="1" customFormat="true" ht="15" hidden="false" customHeight="false" outlineLevel="0" collapsed="false"/>
    <row r="307" s="1" customFormat="true" ht="15" hidden="false" customHeight="false" outlineLevel="0" collapsed="false"/>
    <row r="308" s="1" customFormat="true" ht="15" hidden="false" customHeight="false" outlineLevel="0" collapsed="false"/>
    <row r="309" s="1" customFormat="true" ht="15" hidden="false" customHeight="false" outlineLevel="0" collapsed="false"/>
    <row r="310" s="1" customFormat="true" ht="15" hidden="false" customHeight="false" outlineLevel="0" collapsed="false"/>
    <row r="311" s="1" customFormat="true" ht="15" hidden="false" customHeight="false" outlineLevel="0" collapsed="false"/>
    <row r="312" s="1" customFormat="true" ht="15" hidden="false" customHeight="false" outlineLevel="0" collapsed="false"/>
    <row r="313" s="1" customFormat="true" ht="15" hidden="false" customHeight="false" outlineLevel="0" collapsed="false"/>
    <row r="314" s="1" customFormat="true" ht="15" hidden="false" customHeight="false" outlineLevel="0" collapsed="false"/>
    <row r="315" s="1" customFormat="true" ht="15" hidden="false" customHeight="false" outlineLevel="0" collapsed="false"/>
    <row r="316" s="1" customFormat="true" ht="15" hidden="false" customHeight="false" outlineLevel="0" collapsed="false"/>
    <row r="317" s="1" customFormat="true" ht="15" hidden="false" customHeight="false" outlineLevel="0" collapsed="false"/>
    <row r="318" s="1" customFormat="true" ht="15" hidden="false" customHeight="false" outlineLevel="0" collapsed="false"/>
    <row r="319" s="1" customFormat="true" ht="15" hidden="false" customHeight="false" outlineLevel="0" collapsed="false"/>
    <row r="320" s="1" customFormat="true" ht="15" hidden="false" customHeight="false" outlineLevel="0" collapsed="false"/>
    <row r="321" s="1" customFormat="true" ht="15" hidden="false" customHeight="false" outlineLevel="0" collapsed="false"/>
    <row r="322" s="1" customFormat="true" ht="15" hidden="false" customHeight="false" outlineLevel="0" collapsed="false"/>
    <row r="323" s="1" customFormat="true" ht="15" hidden="false" customHeight="false" outlineLevel="0" collapsed="false"/>
    <row r="324" s="1" customFormat="true" ht="15" hidden="false" customHeight="false" outlineLevel="0" collapsed="false"/>
    <row r="325" s="1" customFormat="true" ht="15" hidden="false" customHeight="false" outlineLevel="0" collapsed="false"/>
    <row r="326" s="1" customFormat="true" ht="15" hidden="false" customHeight="false" outlineLevel="0" collapsed="false"/>
    <row r="327" s="1" customFormat="true" ht="15" hidden="false" customHeight="false" outlineLevel="0" collapsed="false"/>
    <row r="328" s="1" customFormat="true" ht="15" hidden="false" customHeight="false" outlineLevel="0" collapsed="false"/>
    <row r="329" s="1" customFormat="true" ht="15" hidden="false" customHeight="false" outlineLevel="0" collapsed="false"/>
    <row r="330" s="1" customFormat="true" ht="15" hidden="false" customHeight="false" outlineLevel="0" collapsed="false"/>
    <row r="331" s="1" customFormat="true" ht="15" hidden="false" customHeight="false" outlineLevel="0" collapsed="false"/>
    <row r="332" s="1" customFormat="true" ht="15" hidden="false" customHeight="false" outlineLevel="0" collapsed="false"/>
    <row r="333" s="1" customFormat="true" ht="15" hidden="false" customHeight="false" outlineLevel="0" collapsed="false"/>
    <row r="334" s="1" customFormat="true" ht="15" hidden="false" customHeight="false" outlineLevel="0" collapsed="false"/>
    <row r="335" s="1" customFormat="true" ht="15" hidden="false" customHeight="false" outlineLevel="0" collapsed="false"/>
    <row r="336" s="1" customFormat="true" ht="15" hidden="false" customHeight="false" outlineLevel="0" collapsed="false"/>
    <row r="337" s="1" customFormat="true" ht="15" hidden="false" customHeight="false" outlineLevel="0" collapsed="false"/>
    <row r="338" s="1" customFormat="true" ht="15" hidden="false" customHeight="false" outlineLevel="0" collapsed="false"/>
    <row r="339" s="1" customFormat="true" ht="15" hidden="false" customHeight="false" outlineLevel="0" collapsed="false"/>
    <row r="340" s="1" customFormat="true" ht="15" hidden="false" customHeight="false" outlineLevel="0" collapsed="false"/>
    <row r="341" s="1" customFormat="true" ht="15" hidden="false" customHeight="false" outlineLevel="0" collapsed="false"/>
    <row r="342" s="1" customFormat="true" ht="15" hidden="false" customHeight="false" outlineLevel="0" collapsed="false"/>
    <row r="343" s="1" customFormat="true" ht="15" hidden="false" customHeight="false" outlineLevel="0" collapsed="false"/>
    <row r="344" s="1" customFormat="true" ht="15" hidden="false" customHeight="false" outlineLevel="0" collapsed="false"/>
    <row r="345" s="1" customFormat="true" ht="15" hidden="false" customHeight="false" outlineLevel="0" collapsed="false"/>
    <row r="346" s="1" customFormat="true" ht="15" hidden="false" customHeight="false" outlineLevel="0" collapsed="false"/>
    <row r="347" s="1" customFormat="true" ht="15" hidden="false" customHeight="false" outlineLevel="0" collapsed="false"/>
    <row r="348" s="1" customFormat="true" ht="15" hidden="false" customHeight="false" outlineLevel="0" collapsed="false"/>
    <row r="349" s="1" customFormat="true" ht="15" hidden="false" customHeight="false" outlineLevel="0" collapsed="false"/>
    <row r="350" s="1" customFormat="true" ht="15" hidden="false" customHeight="false" outlineLevel="0" collapsed="false"/>
    <row r="351" s="1" customFormat="true" ht="15" hidden="false" customHeight="false" outlineLevel="0" collapsed="false"/>
    <row r="352" s="1" customFormat="true" ht="15" hidden="false" customHeight="false" outlineLevel="0" collapsed="false"/>
    <row r="353" s="1" customFormat="true" ht="15" hidden="false" customHeight="false" outlineLevel="0" collapsed="false"/>
    <row r="354" s="1" customFormat="true" ht="15" hidden="false" customHeight="false" outlineLevel="0" collapsed="false"/>
    <row r="355" s="1" customFormat="true" ht="15" hidden="false" customHeight="false" outlineLevel="0" collapsed="false"/>
    <row r="356" s="1" customFormat="true" ht="15" hidden="false" customHeight="false" outlineLevel="0" collapsed="false"/>
    <row r="357" s="1" customFormat="true" ht="15" hidden="false" customHeight="false" outlineLevel="0" collapsed="false"/>
    <row r="358" s="1" customFormat="true" ht="15" hidden="false" customHeight="false" outlineLevel="0" collapsed="false"/>
    <row r="359" s="1" customFormat="true" ht="15" hidden="false" customHeight="false" outlineLevel="0" collapsed="false"/>
    <row r="360" s="1" customFormat="true" ht="15" hidden="false" customHeight="false" outlineLevel="0" collapsed="false"/>
    <row r="361" s="1" customFormat="true" ht="15" hidden="false" customHeight="false" outlineLevel="0" collapsed="false"/>
    <row r="362" s="1" customFormat="true" ht="15" hidden="false" customHeight="false" outlineLevel="0" collapsed="false"/>
    <row r="363" s="1" customFormat="true" ht="15" hidden="false" customHeight="false" outlineLevel="0" collapsed="false"/>
    <row r="364" s="1" customFormat="true" ht="15" hidden="false" customHeight="false" outlineLevel="0" collapsed="false"/>
    <row r="365" s="1" customFormat="true" ht="15" hidden="false" customHeight="false" outlineLevel="0" collapsed="false"/>
    <row r="366" s="1" customFormat="true" ht="15" hidden="false" customHeight="false" outlineLevel="0" collapsed="false"/>
    <row r="367" s="1" customFormat="true" ht="15" hidden="false" customHeight="false" outlineLevel="0" collapsed="false"/>
    <row r="368" s="1" customFormat="true" ht="15" hidden="false" customHeight="false" outlineLevel="0" collapsed="false"/>
    <row r="369" s="1" customFormat="true" ht="15" hidden="false" customHeight="false" outlineLevel="0" collapsed="false"/>
    <row r="370" s="1" customFormat="true" ht="15" hidden="false" customHeight="false" outlineLevel="0" collapsed="false"/>
    <row r="371" s="1" customFormat="true" ht="15" hidden="false" customHeight="false" outlineLevel="0" collapsed="false"/>
    <row r="372" s="1" customFormat="true" ht="15" hidden="false" customHeight="false" outlineLevel="0" collapsed="false"/>
    <row r="373" s="1" customFormat="true" ht="15" hidden="false" customHeight="false" outlineLevel="0" collapsed="false"/>
    <row r="374" s="1" customFormat="true" ht="15" hidden="false" customHeight="false" outlineLevel="0" collapsed="false"/>
    <row r="375" s="1" customFormat="true" ht="15" hidden="false" customHeight="false" outlineLevel="0" collapsed="false"/>
    <row r="376" s="1" customFormat="true" ht="15" hidden="false" customHeight="false" outlineLevel="0" collapsed="false"/>
    <row r="377" s="1" customFormat="true" ht="15" hidden="false" customHeight="false" outlineLevel="0" collapsed="false"/>
    <row r="378" s="1" customFormat="true" ht="15" hidden="false" customHeight="false" outlineLevel="0" collapsed="false"/>
    <row r="379" s="1" customFormat="true" ht="15" hidden="false" customHeight="false" outlineLevel="0" collapsed="false"/>
    <row r="380" s="1" customFormat="true" ht="15" hidden="false" customHeight="false" outlineLevel="0" collapsed="false"/>
    <row r="381" s="1" customFormat="true" ht="15" hidden="false" customHeight="false" outlineLevel="0" collapsed="false"/>
    <row r="382" s="1" customFormat="true" ht="15" hidden="false" customHeight="false" outlineLevel="0" collapsed="false"/>
    <row r="383" s="1" customFormat="true" ht="15" hidden="false" customHeight="false" outlineLevel="0" collapsed="false"/>
    <row r="384" s="1" customFormat="true" ht="15" hidden="false" customHeight="false" outlineLevel="0" collapsed="false"/>
    <row r="385" s="1" customFormat="true" ht="15" hidden="false" customHeight="false" outlineLevel="0" collapsed="false"/>
    <row r="386" s="1" customFormat="true" ht="15" hidden="false" customHeight="false" outlineLevel="0" collapsed="false"/>
    <row r="387" s="1" customFormat="true" ht="15" hidden="false" customHeight="false" outlineLevel="0" collapsed="false"/>
    <row r="388" s="1" customFormat="true" ht="15" hidden="false" customHeight="false" outlineLevel="0" collapsed="false"/>
    <row r="389" s="1" customFormat="true" ht="15" hidden="false" customHeight="false" outlineLevel="0" collapsed="false"/>
    <row r="390" s="1" customFormat="true" ht="15" hidden="false" customHeight="false" outlineLevel="0" collapsed="false"/>
    <row r="391" s="1" customFormat="true" ht="15" hidden="false" customHeight="false" outlineLevel="0" collapsed="false"/>
    <row r="392" s="1" customFormat="true" ht="15" hidden="false" customHeight="false" outlineLevel="0" collapsed="false"/>
    <row r="393" s="1" customFormat="true" ht="15" hidden="false" customHeight="false" outlineLevel="0" collapsed="false"/>
    <row r="394" s="1" customFormat="true" ht="15" hidden="false" customHeight="false" outlineLevel="0" collapsed="false"/>
    <row r="395" s="1" customFormat="true" ht="15" hidden="false" customHeight="false" outlineLevel="0" collapsed="false"/>
    <row r="396" s="1" customFormat="true" ht="15" hidden="false" customHeight="false" outlineLevel="0" collapsed="false"/>
    <row r="397" s="1" customFormat="true" ht="15" hidden="false" customHeight="false" outlineLevel="0" collapsed="false"/>
    <row r="398" s="1" customFormat="true" ht="15" hidden="false" customHeight="false" outlineLevel="0" collapsed="false"/>
    <row r="399" s="1" customFormat="true" ht="15" hidden="false" customHeight="false" outlineLevel="0" collapsed="false"/>
    <row r="400" s="1" customFormat="true" ht="15" hidden="false" customHeight="false" outlineLevel="0" collapsed="false"/>
    <row r="401" s="1" customFormat="true" ht="15" hidden="false" customHeight="false" outlineLevel="0" collapsed="false"/>
    <row r="402" s="1" customFormat="true" ht="15" hidden="false" customHeight="false" outlineLevel="0" collapsed="false"/>
    <row r="403" s="1" customFormat="true" ht="15" hidden="false" customHeight="false" outlineLevel="0" collapsed="false"/>
    <row r="404" s="1" customFormat="true" ht="15" hidden="false" customHeight="false" outlineLevel="0" collapsed="false"/>
    <row r="405" s="1" customFormat="true" ht="15" hidden="false" customHeight="false" outlineLevel="0" collapsed="false"/>
    <row r="406" s="1" customFormat="true" ht="15" hidden="false" customHeight="false" outlineLevel="0" collapsed="false"/>
    <row r="407" s="1" customFormat="true" ht="15" hidden="false" customHeight="false" outlineLevel="0" collapsed="false"/>
    <row r="408" s="1" customFormat="true" ht="15" hidden="false" customHeight="false" outlineLevel="0" collapsed="false"/>
    <row r="409" s="1" customFormat="true" ht="15" hidden="false" customHeight="false" outlineLevel="0" collapsed="false"/>
    <row r="410" s="1" customFormat="true" ht="15" hidden="false" customHeight="false" outlineLevel="0" collapsed="false"/>
    <row r="411" s="1" customFormat="true" ht="15" hidden="false" customHeight="false" outlineLevel="0" collapsed="false"/>
    <row r="412" s="1" customFormat="true" ht="15" hidden="false" customHeight="false" outlineLevel="0" collapsed="false"/>
    <row r="413" s="1" customFormat="true" ht="15" hidden="false" customHeight="false" outlineLevel="0" collapsed="false"/>
    <row r="414" s="1" customFormat="true" ht="15" hidden="false" customHeight="false" outlineLevel="0" collapsed="false"/>
    <row r="415" s="1" customFormat="true" ht="15" hidden="false" customHeight="false" outlineLevel="0" collapsed="false"/>
    <row r="416" s="1" customFormat="true" ht="15" hidden="false" customHeight="false" outlineLevel="0" collapsed="false"/>
    <row r="417" s="1" customFormat="true" ht="15" hidden="false" customHeight="false" outlineLevel="0" collapsed="false"/>
    <row r="418" s="1" customFormat="true" ht="15" hidden="false" customHeight="false" outlineLevel="0" collapsed="false"/>
    <row r="419" s="1" customFormat="true" ht="15" hidden="false" customHeight="false" outlineLevel="0" collapsed="false"/>
    <row r="420" s="1" customFormat="true" ht="15" hidden="false" customHeight="false" outlineLevel="0" collapsed="false"/>
    <row r="421" s="1" customFormat="true" ht="15" hidden="false" customHeight="false" outlineLevel="0" collapsed="false"/>
    <row r="422" s="1" customFormat="true" ht="15" hidden="false" customHeight="false" outlineLevel="0" collapsed="false"/>
    <row r="423" s="1" customFormat="true" ht="15" hidden="false" customHeight="false" outlineLevel="0" collapsed="false"/>
    <row r="424" s="1" customFormat="true" ht="15" hidden="false" customHeight="false" outlineLevel="0" collapsed="false"/>
    <row r="425" s="1" customFormat="true" ht="15" hidden="false" customHeight="false" outlineLevel="0" collapsed="false"/>
    <row r="426" s="1" customFormat="true" ht="15" hidden="false" customHeight="false" outlineLevel="0" collapsed="false"/>
    <row r="427" s="1" customFormat="true" ht="15" hidden="false" customHeight="false" outlineLevel="0" collapsed="false"/>
    <row r="428" s="1" customFormat="true" ht="15" hidden="false" customHeight="false" outlineLevel="0" collapsed="false"/>
    <row r="429" s="1" customFormat="true" ht="15" hidden="false" customHeight="false" outlineLevel="0" collapsed="false"/>
    <row r="430" s="1" customFormat="true" ht="15" hidden="false" customHeight="false" outlineLevel="0" collapsed="false"/>
    <row r="431" s="1" customFormat="true" ht="15" hidden="false" customHeight="false" outlineLevel="0" collapsed="false"/>
    <row r="432" s="1" customFormat="true" ht="15" hidden="false" customHeight="false" outlineLevel="0" collapsed="false"/>
    <row r="433" s="1" customFormat="true" ht="15" hidden="false" customHeight="false" outlineLevel="0" collapsed="false"/>
    <row r="434" s="1" customFormat="true" ht="15" hidden="false" customHeight="false" outlineLevel="0" collapsed="false"/>
    <row r="435" s="1" customFormat="true" ht="15" hidden="false" customHeight="false" outlineLevel="0" collapsed="false"/>
    <row r="436" s="1" customFormat="true" ht="15" hidden="false" customHeight="false" outlineLevel="0" collapsed="false"/>
    <row r="437" s="1" customFormat="true" ht="15" hidden="false" customHeight="false" outlineLevel="0" collapsed="false"/>
    <row r="438" s="1" customFormat="true" ht="15" hidden="false" customHeight="false" outlineLevel="0" collapsed="false"/>
    <row r="439" s="1" customFormat="true" ht="15" hidden="false" customHeight="false" outlineLevel="0" collapsed="false"/>
    <row r="440" s="1" customFormat="true" ht="15" hidden="false" customHeight="false" outlineLevel="0" collapsed="false"/>
    <row r="441" s="1" customFormat="true" ht="15" hidden="false" customHeight="false" outlineLevel="0" collapsed="false"/>
    <row r="442" s="1" customFormat="true" ht="15" hidden="false" customHeight="false" outlineLevel="0" collapsed="false"/>
    <row r="443" s="1" customFormat="true" ht="15" hidden="false" customHeight="false" outlineLevel="0" collapsed="false"/>
    <row r="444" s="1" customFormat="true" ht="15" hidden="false" customHeight="false" outlineLevel="0" collapsed="false"/>
    <row r="445" s="1" customFormat="true" ht="15" hidden="false" customHeight="false" outlineLevel="0" collapsed="false"/>
    <row r="446" s="1" customFormat="true" ht="15" hidden="false" customHeight="false" outlineLevel="0" collapsed="false"/>
    <row r="447" s="1" customFormat="true" ht="15" hidden="false" customHeight="false" outlineLevel="0" collapsed="false"/>
    <row r="448" s="1" customFormat="true" ht="15" hidden="false" customHeight="false" outlineLevel="0" collapsed="false"/>
    <row r="449" s="1" customFormat="true" ht="15" hidden="false" customHeight="false" outlineLevel="0" collapsed="false"/>
    <row r="450" s="1" customFormat="true" ht="15" hidden="false" customHeight="false" outlineLevel="0" collapsed="false"/>
    <row r="451" s="1" customFormat="true" ht="15" hidden="false" customHeight="false" outlineLevel="0" collapsed="false"/>
    <row r="452" s="1" customFormat="true" ht="15" hidden="false" customHeight="false" outlineLevel="0" collapsed="false"/>
    <row r="453" s="1" customFormat="true" ht="15" hidden="false" customHeight="false" outlineLevel="0" collapsed="false"/>
    <row r="454" s="1" customFormat="true" ht="15" hidden="false" customHeight="false" outlineLevel="0" collapsed="false"/>
    <row r="455" s="1" customFormat="true" ht="15" hidden="false" customHeight="false" outlineLevel="0" collapsed="false"/>
    <row r="456" s="1" customFormat="true" ht="15" hidden="false" customHeight="false" outlineLevel="0" collapsed="false"/>
    <row r="457" s="1" customFormat="true" ht="15" hidden="false" customHeight="false" outlineLevel="0" collapsed="false"/>
    <row r="458" s="1" customFormat="true" ht="15" hidden="false" customHeight="false" outlineLevel="0" collapsed="false"/>
    <row r="459" s="1" customFormat="true" ht="15" hidden="false" customHeight="false" outlineLevel="0" collapsed="false"/>
    <row r="460" s="1" customFormat="true" ht="15" hidden="false" customHeight="false" outlineLevel="0" collapsed="false"/>
    <row r="461" s="1" customFormat="true" ht="15" hidden="false" customHeight="false" outlineLevel="0" collapsed="false"/>
    <row r="462" s="1" customFormat="true" ht="15" hidden="false" customHeight="false" outlineLevel="0" collapsed="false"/>
    <row r="463" s="1" customFormat="true" ht="15" hidden="false" customHeight="false" outlineLevel="0" collapsed="false"/>
    <row r="464" s="1" customFormat="true" ht="15" hidden="false" customHeight="false" outlineLevel="0" collapsed="false"/>
    <row r="465" s="1" customFormat="true" ht="15" hidden="false" customHeight="false" outlineLevel="0" collapsed="false"/>
    <row r="466" s="1" customFormat="true" ht="15" hidden="false" customHeight="false" outlineLevel="0" collapsed="false"/>
    <row r="467" s="1" customFormat="true" ht="15" hidden="false" customHeight="false" outlineLevel="0" collapsed="false"/>
    <row r="468" s="1" customFormat="true" ht="15" hidden="false" customHeight="false" outlineLevel="0" collapsed="false"/>
    <row r="469" s="1" customFormat="true" ht="15" hidden="false" customHeight="false" outlineLevel="0" collapsed="false"/>
    <row r="470" s="1" customFormat="true" ht="15" hidden="false" customHeight="false" outlineLevel="0" collapsed="false"/>
    <row r="471" s="1" customFormat="true" ht="15" hidden="false" customHeight="false" outlineLevel="0" collapsed="false"/>
    <row r="472" s="1" customFormat="true" ht="15" hidden="false" customHeight="false" outlineLevel="0" collapsed="false"/>
    <row r="473" s="1" customFormat="true" ht="15" hidden="false" customHeight="false" outlineLevel="0" collapsed="false"/>
    <row r="474" s="1" customFormat="true" ht="15" hidden="false" customHeight="false" outlineLevel="0" collapsed="false"/>
    <row r="475" s="1" customFormat="true" ht="15" hidden="false" customHeight="false" outlineLevel="0" collapsed="false"/>
    <row r="476" s="1" customFormat="true" ht="15" hidden="false" customHeight="false" outlineLevel="0" collapsed="false"/>
    <row r="477" s="1" customFormat="true" ht="15" hidden="false" customHeight="false" outlineLevel="0" collapsed="false"/>
    <row r="478" s="1" customFormat="true" ht="15" hidden="false" customHeight="false" outlineLevel="0" collapsed="false"/>
    <row r="479" s="1" customFormat="true" ht="15" hidden="false" customHeight="false" outlineLevel="0" collapsed="false"/>
    <row r="480" s="1" customFormat="true" ht="15" hidden="false" customHeight="false" outlineLevel="0" collapsed="false"/>
    <row r="481" s="1" customFormat="true" ht="15" hidden="false" customHeight="false" outlineLevel="0" collapsed="false"/>
    <row r="482" s="1" customFormat="true" ht="15" hidden="false" customHeight="false" outlineLevel="0" collapsed="false"/>
    <row r="483" s="1" customFormat="true" ht="15" hidden="false" customHeight="false" outlineLevel="0" collapsed="false"/>
    <row r="484" s="1" customFormat="true" ht="15" hidden="false" customHeight="false" outlineLevel="0" collapsed="false"/>
    <row r="485" s="1" customFormat="true" ht="15" hidden="false" customHeight="false" outlineLevel="0" collapsed="false"/>
    <row r="486" s="1" customFormat="true" ht="15" hidden="false" customHeight="false" outlineLevel="0" collapsed="false"/>
    <row r="487" s="1" customFormat="true" ht="15" hidden="false" customHeight="false" outlineLevel="0" collapsed="false"/>
    <row r="488" s="1" customFormat="true" ht="15" hidden="false" customHeight="false" outlineLevel="0" collapsed="false"/>
    <row r="489" s="1" customFormat="true" ht="15" hidden="false" customHeight="false" outlineLevel="0" collapsed="false"/>
    <row r="490" s="1" customFormat="true" ht="15" hidden="false" customHeight="false" outlineLevel="0" collapsed="false"/>
    <row r="491" s="1" customFormat="true" ht="15" hidden="false" customHeight="false" outlineLevel="0" collapsed="false"/>
    <row r="492" s="1" customFormat="true" ht="15" hidden="false" customHeight="false" outlineLevel="0" collapsed="false"/>
    <row r="493" s="1" customFormat="true" ht="15" hidden="false" customHeight="false" outlineLevel="0" collapsed="false"/>
    <row r="494" s="1" customFormat="true" ht="15" hidden="false" customHeight="false" outlineLevel="0" collapsed="false"/>
    <row r="495" s="1" customFormat="true" ht="15" hidden="false" customHeight="false" outlineLevel="0" collapsed="false"/>
    <row r="496" s="1" customFormat="true" ht="15" hidden="false" customHeight="false" outlineLevel="0" collapsed="false"/>
    <row r="497" s="1" customFormat="true" ht="15" hidden="false" customHeight="false" outlineLevel="0" collapsed="false"/>
    <row r="498" s="1" customFormat="true" ht="15" hidden="false" customHeight="false" outlineLevel="0" collapsed="false"/>
    <row r="499" s="1" customFormat="true" ht="15" hidden="false" customHeight="false" outlineLevel="0" collapsed="false"/>
    <row r="500" s="1" customFormat="true" ht="15" hidden="false" customHeight="false" outlineLevel="0" collapsed="false"/>
    <row r="501" s="1" customFormat="true" ht="15" hidden="false" customHeight="false" outlineLevel="0" collapsed="false"/>
    <row r="502" s="1" customFormat="true" ht="15" hidden="false" customHeight="false" outlineLevel="0" collapsed="false"/>
    <row r="503" s="1" customFormat="true" ht="15" hidden="false" customHeight="false" outlineLevel="0" collapsed="false"/>
    <row r="504" s="1" customFormat="true" ht="15" hidden="false" customHeight="false" outlineLevel="0" collapsed="false"/>
    <row r="505" s="1" customFormat="true" ht="15" hidden="false" customHeight="false" outlineLevel="0" collapsed="false"/>
    <row r="506" s="1" customFormat="true" ht="15" hidden="false" customHeight="false" outlineLevel="0" collapsed="false"/>
    <row r="507" s="1" customFormat="true" ht="15" hidden="false" customHeight="false" outlineLevel="0" collapsed="false"/>
    <row r="508" s="1" customFormat="true" ht="15" hidden="false" customHeight="false" outlineLevel="0" collapsed="false"/>
    <row r="509" s="1" customFormat="true" ht="15" hidden="false" customHeight="false" outlineLevel="0" collapsed="false"/>
    <row r="510" s="1" customFormat="true" ht="15" hidden="false" customHeight="false" outlineLevel="0" collapsed="false"/>
    <row r="511" s="1" customFormat="true" ht="15" hidden="false" customHeight="false" outlineLevel="0" collapsed="false"/>
    <row r="512" s="1" customFormat="true" ht="15" hidden="false" customHeight="false" outlineLevel="0" collapsed="false"/>
    <row r="513" s="1" customFormat="true" ht="15" hidden="false" customHeight="false" outlineLevel="0" collapsed="false"/>
    <row r="514" s="1" customFormat="true" ht="15" hidden="false" customHeight="false" outlineLevel="0" collapsed="false"/>
    <row r="515" s="1" customFormat="true" ht="15" hidden="false" customHeight="false" outlineLevel="0" collapsed="false"/>
    <row r="516" s="1" customFormat="true" ht="15" hidden="false" customHeight="false" outlineLevel="0" collapsed="false"/>
    <row r="517" s="1" customFormat="true" ht="15" hidden="false" customHeight="false" outlineLevel="0" collapsed="false"/>
    <row r="518" s="1" customFormat="true" ht="15" hidden="false" customHeight="false" outlineLevel="0" collapsed="false"/>
    <row r="519" s="1" customFormat="true" ht="15" hidden="false" customHeight="false" outlineLevel="0" collapsed="false"/>
    <row r="520" s="1" customFormat="true" ht="15" hidden="false" customHeight="false" outlineLevel="0" collapsed="false"/>
    <row r="521" s="1" customFormat="true" ht="15" hidden="false" customHeight="false" outlineLevel="0" collapsed="false"/>
    <row r="522" s="1" customFormat="true" ht="15" hidden="false" customHeight="false" outlineLevel="0" collapsed="false"/>
    <row r="523" s="1" customFormat="true" ht="15" hidden="false" customHeight="false" outlineLevel="0" collapsed="false"/>
    <row r="524" s="1" customFormat="true" ht="15" hidden="false" customHeight="false" outlineLevel="0" collapsed="false"/>
    <row r="525" s="1" customFormat="true" ht="15" hidden="false" customHeight="false" outlineLevel="0" collapsed="false"/>
    <row r="526" s="1" customFormat="true" ht="15" hidden="false" customHeight="false" outlineLevel="0" collapsed="false"/>
    <row r="527" s="1" customFormat="true" ht="15" hidden="false" customHeight="false" outlineLevel="0" collapsed="false"/>
    <row r="528" s="1" customFormat="true" ht="15" hidden="false" customHeight="false" outlineLevel="0" collapsed="false"/>
    <row r="529" s="1" customFormat="true" ht="15" hidden="false" customHeight="false" outlineLevel="0" collapsed="false"/>
    <row r="530" s="1" customFormat="true" ht="15" hidden="false" customHeight="false" outlineLevel="0" collapsed="false"/>
    <row r="531" s="1" customFormat="true" ht="15" hidden="false" customHeight="false" outlineLevel="0" collapsed="false"/>
    <row r="532" s="1" customFormat="true" ht="15" hidden="false" customHeight="false" outlineLevel="0" collapsed="false"/>
    <row r="533" s="1" customFormat="true" ht="15" hidden="false" customHeight="false" outlineLevel="0" collapsed="false"/>
    <row r="534" s="1" customFormat="true" ht="15" hidden="false" customHeight="false" outlineLevel="0" collapsed="false"/>
    <row r="535" s="1" customFormat="true" ht="15" hidden="false" customHeight="false" outlineLevel="0" collapsed="false"/>
    <row r="536" s="1" customFormat="true" ht="15" hidden="false" customHeight="false" outlineLevel="0" collapsed="false"/>
    <row r="537" s="1" customFormat="true" ht="15" hidden="false" customHeight="false" outlineLevel="0" collapsed="false"/>
    <row r="538" s="1" customFormat="true" ht="15" hidden="false" customHeight="false" outlineLevel="0" collapsed="false"/>
    <row r="539" s="1" customFormat="true" ht="15" hidden="false" customHeight="false" outlineLevel="0" collapsed="false"/>
    <row r="540" s="1" customFormat="true" ht="15" hidden="false" customHeight="false" outlineLevel="0" collapsed="false"/>
    <row r="541" s="1" customFormat="true" ht="15" hidden="false" customHeight="false" outlineLevel="0" collapsed="false"/>
    <row r="542" s="1" customFormat="true" ht="15" hidden="false" customHeight="false" outlineLevel="0" collapsed="false"/>
    <row r="543" s="1" customFormat="true" ht="15" hidden="false" customHeight="false" outlineLevel="0" collapsed="false"/>
    <row r="544" s="1" customFormat="true" ht="15" hidden="false" customHeight="false" outlineLevel="0" collapsed="false"/>
    <row r="545" s="1" customFormat="true" ht="15" hidden="false" customHeight="false" outlineLevel="0" collapsed="false"/>
    <row r="546" s="1" customFormat="true" ht="15" hidden="false" customHeight="false" outlineLevel="0" collapsed="false"/>
    <row r="547" s="1" customFormat="true" ht="15" hidden="false" customHeight="false" outlineLevel="0" collapsed="false"/>
    <row r="548" s="1" customFormat="true" ht="15" hidden="false" customHeight="false" outlineLevel="0" collapsed="false"/>
    <row r="549" s="1" customFormat="true" ht="15" hidden="false" customHeight="false" outlineLevel="0" collapsed="false"/>
    <row r="550" s="1" customFormat="true" ht="15" hidden="false" customHeight="false" outlineLevel="0" collapsed="false"/>
    <row r="551" s="1" customFormat="true" ht="15" hidden="false" customHeight="false" outlineLevel="0" collapsed="false"/>
    <row r="552" s="1" customFormat="true" ht="15" hidden="false" customHeight="false" outlineLevel="0" collapsed="false"/>
    <row r="553" s="1" customFormat="true" ht="15" hidden="false" customHeight="false" outlineLevel="0" collapsed="false"/>
    <row r="554" s="1" customFormat="true" ht="15" hidden="false" customHeight="false" outlineLevel="0" collapsed="false"/>
    <row r="555" s="1" customFormat="true" ht="15" hidden="false" customHeight="false" outlineLevel="0" collapsed="false"/>
    <row r="556" s="1" customFormat="true" ht="15" hidden="false" customHeight="false" outlineLevel="0" collapsed="false"/>
    <row r="557" s="1" customFormat="true" ht="15" hidden="false" customHeight="false" outlineLevel="0" collapsed="false"/>
    <row r="558" s="1" customFormat="true" ht="15" hidden="false" customHeight="false" outlineLevel="0" collapsed="false"/>
    <row r="559" s="1" customFormat="true" ht="15" hidden="false" customHeight="false" outlineLevel="0" collapsed="false"/>
    <row r="560" s="1" customFormat="true" ht="15" hidden="false" customHeight="false" outlineLevel="0" collapsed="false"/>
    <row r="561" s="1" customFormat="true" ht="15" hidden="false" customHeight="false" outlineLevel="0" collapsed="false"/>
    <row r="562" s="1" customFormat="true" ht="15" hidden="false" customHeight="false" outlineLevel="0" collapsed="false"/>
    <row r="563" s="1" customFormat="true" ht="15" hidden="false" customHeight="false" outlineLevel="0" collapsed="false"/>
    <row r="564" s="1" customFormat="true" ht="15" hidden="false" customHeight="false" outlineLevel="0" collapsed="false"/>
    <row r="565" s="1" customFormat="true" ht="15" hidden="false" customHeight="false" outlineLevel="0" collapsed="false"/>
    <row r="566" s="1" customFormat="true" ht="15" hidden="false" customHeight="false" outlineLevel="0" collapsed="false"/>
    <row r="567" s="1" customFormat="true" ht="15" hidden="false" customHeight="false" outlineLevel="0" collapsed="false"/>
    <row r="568" s="1" customFormat="true" ht="15" hidden="false" customHeight="false" outlineLevel="0" collapsed="false"/>
    <row r="569" s="1" customFormat="true" ht="15" hidden="false" customHeight="false" outlineLevel="0" collapsed="false"/>
    <row r="570" s="1" customFormat="true" ht="15" hidden="false" customHeight="false" outlineLevel="0" collapsed="false"/>
    <row r="571" s="1" customFormat="true" ht="15" hidden="false" customHeight="false" outlineLevel="0" collapsed="false"/>
    <row r="572" s="1" customFormat="true" ht="15" hidden="false" customHeight="false" outlineLevel="0" collapsed="false"/>
    <row r="573" s="1" customFormat="true" ht="15" hidden="false" customHeight="false" outlineLevel="0" collapsed="false"/>
    <row r="574" s="1" customFormat="true" ht="15" hidden="false" customHeight="false" outlineLevel="0" collapsed="false"/>
    <row r="575" s="1" customFormat="true" ht="15" hidden="false" customHeight="false" outlineLevel="0" collapsed="false"/>
    <row r="576" s="1" customFormat="true" ht="15" hidden="false" customHeight="false" outlineLevel="0" collapsed="false"/>
    <row r="577" s="1" customFormat="true" ht="15" hidden="false" customHeight="false" outlineLevel="0" collapsed="false"/>
    <row r="578" s="1" customFormat="true" ht="15" hidden="false" customHeight="false" outlineLevel="0" collapsed="false"/>
    <row r="579" s="1" customFormat="true" ht="15" hidden="false" customHeight="false" outlineLevel="0" collapsed="false"/>
    <row r="580" s="1" customFormat="true" ht="15" hidden="false" customHeight="false" outlineLevel="0" collapsed="false"/>
    <row r="581" s="1" customFormat="true" ht="15" hidden="false" customHeight="false" outlineLevel="0" collapsed="false"/>
    <row r="582" s="1" customFormat="true" ht="15" hidden="false" customHeight="false" outlineLevel="0" collapsed="false"/>
    <row r="583" s="1" customFormat="true" ht="15" hidden="false" customHeight="false" outlineLevel="0" collapsed="false"/>
    <row r="584" s="1" customFormat="true" ht="15" hidden="false" customHeight="false" outlineLevel="0" collapsed="false"/>
    <row r="585" s="1" customFormat="true" ht="15" hidden="false" customHeight="false" outlineLevel="0" collapsed="false"/>
    <row r="586" s="1" customFormat="true" ht="15" hidden="false" customHeight="false" outlineLevel="0" collapsed="false"/>
    <row r="587" s="1" customFormat="true" ht="15" hidden="false" customHeight="false" outlineLevel="0" collapsed="false"/>
    <row r="588" s="1" customFormat="true" ht="15" hidden="false" customHeight="false" outlineLevel="0" collapsed="false"/>
    <row r="589" s="1" customFormat="true" ht="15" hidden="false" customHeight="false" outlineLevel="0" collapsed="false"/>
    <row r="590" s="1" customFormat="true" ht="15" hidden="false" customHeight="false" outlineLevel="0" collapsed="false"/>
    <row r="591" s="1" customFormat="true" ht="15" hidden="false" customHeight="false" outlineLevel="0" collapsed="false"/>
    <row r="592" s="1" customFormat="true" ht="15" hidden="false" customHeight="false" outlineLevel="0" collapsed="false"/>
    <row r="593" s="1" customFormat="true" ht="15" hidden="false" customHeight="false" outlineLevel="0" collapsed="false"/>
    <row r="594" s="1" customFormat="true" ht="15" hidden="false" customHeight="false" outlineLevel="0" collapsed="false"/>
    <row r="595" s="1" customFormat="true" ht="15" hidden="false" customHeight="false" outlineLevel="0" collapsed="false"/>
    <row r="596" s="1" customFormat="true" ht="15" hidden="false" customHeight="false" outlineLevel="0" collapsed="false"/>
    <row r="597" s="1" customFormat="true" ht="15" hidden="false" customHeight="false" outlineLevel="0" collapsed="false"/>
    <row r="598" s="1" customFormat="true" ht="15" hidden="false" customHeight="false" outlineLevel="0" collapsed="false"/>
    <row r="599" s="1" customFormat="true" ht="15" hidden="false" customHeight="false" outlineLevel="0" collapsed="false"/>
    <row r="600" s="1" customFormat="true" ht="15" hidden="false" customHeight="false" outlineLevel="0" collapsed="false"/>
    <row r="601" s="1" customFormat="true" ht="15" hidden="false" customHeight="false" outlineLevel="0" collapsed="false"/>
    <row r="602" s="1" customFormat="true" ht="15" hidden="false" customHeight="false" outlineLevel="0" collapsed="false"/>
    <row r="603" s="1" customFormat="true" ht="15" hidden="false" customHeight="false" outlineLevel="0" collapsed="false"/>
    <row r="604" s="1" customFormat="true" ht="15" hidden="false" customHeight="false" outlineLevel="0" collapsed="false"/>
    <row r="605" s="1" customFormat="true" ht="15" hidden="false" customHeight="false" outlineLevel="0" collapsed="false"/>
    <row r="606" s="1" customFormat="true" ht="15" hidden="false" customHeight="false" outlineLevel="0" collapsed="false"/>
    <row r="607" s="1" customFormat="true" ht="15" hidden="false" customHeight="false" outlineLevel="0" collapsed="false"/>
    <row r="608" s="1" customFormat="true" ht="15" hidden="false" customHeight="false" outlineLevel="0" collapsed="false"/>
    <row r="609" s="1" customFormat="true" ht="15" hidden="false" customHeight="false" outlineLevel="0" collapsed="false"/>
    <row r="610" s="1" customFormat="true" ht="15" hidden="false" customHeight="false" outlineLevel="0" collapsed="false"/>
    <row r="611" s="1" customFormat="true" ht="15" hidden="false" customHeight="false" outlineLevel="0" collapsed="false"/>
    <row r="612" s="1" customFormat="true" ht="15" hidden="false" customHeight="false" outlineLevel="0" collapsed="false"/>
    <row r="613" s="1" customFormat="true" ht="15" hidden="false" customHeight="false" outlineLevel="0" collapsed="false"/>
    <row r="614" s="1" customFormat="true" ht="15" hidden="false" customHeight="false" outlineLevel="0" collapsed="false"/>
    <row r="615" s="1" customFormat="true" ht="15" hidden="false" customHeight="false" outlineLevel="0" collapsed="false"/>
    <row r="616" s="1" customFormat="true" ht="15" hidden="false" customHeight="false" outlineLevel="0" collapsed="false"/>
    <row r="617" s="1" customFormat="true" ht="15" hidden="false" customHeight="false" outlineLevel="0" collapsed="false"/>
    <row r="618" s="1" customFormat="true" ht="15" hidden="false" customHeight="false" outlineLevel="0" collapsed="false"/>
    <row r="619" s="1" customFormat="true" ht="15" hidden="false" customHeight="false" outlineLevel="0" collapsed="false"/>
    <row r="620" s="1" customFormat="true" ht="15" hidden="false" customHeight="false" outlineLevel="0" collapsed="false"/>
    <row r="621" s="1" customFormat="true" ht="15" hidden="false" customHeight="false" outlineLevel="0" collapsed="false"/>
    <row r="622" s="1" customFormat="true" ht="15" hidden="false" customHeight="false" outlineLevel="0" collapsed="false"/>
    <row r="623" s="1" customFormat="true" ht="15" hidden="false" customHeight="false" outlineLevel="0" collapsed="false"/>
    <row r="624" s="1" customFormat="true" ht="15" hidden="false" customHeight="false" outlineLevel="0" collapsed="false"/>
    <row r="625" s="1" customFormat="true" ht="15" hidden="false" customHeight="false" outlineLevel="0" collapsed="false"/>
    <row r="626" s="1" customFormat="true" ht="15" hidden="false" customHeight="false" outlineLevel="0" collapsed="false"/>
    <row r="627" s="1" customFormat="true" ht="15" hidden="false" customHeight="false" outlineLevel="0" collapsed="false"/>
    <row r="628" s="1" customFormat="true" ht="15" hidden="false" customHeight="false" outlineLevel="0" collapsed="false"/>
    <row r="629" s="1" customFormat="true" ht="15" hidden="false" customHeight="false" outlineLevel="0" collapsed="false"/>
    <row r="630" s="1" customFormat="true" ht="15" hidden="false" customHeight="false" outlineLevel="0" collapsed="false"/>
    <row r="631" s="1" customFormat="true" ht="15" hidden="false" customHeight="false" outlineLevel="0" collapsed="false"/>
    <row r="632" s="1" customFormat="true" ht="15" hidden="false" customHeight="false" outlineLevel="0" collapsed="false"/>
    <row r="633" s="1" customFormat="true" ht="15" hidden="false" customHeight="false" outlineLevel="0" collapsed="false"/>
    <row r="634" s="1" customFormat="true" ht="15" hidden="false" customHeight="false" outlineLevel="0" collapsed="false"/>
    <row r="635" s="1" customFormat="true" ht="15" hidden="false" customHeight="false" outlineLevel="0" collapsed="false"/>
    <row r="636" s="1" customFormat="true" ht="15" hidden="false" customHeight="false" outlineLevel="0" collapsed="false"/>
    <row r="637" s="1" customFormat="true" ht="15" hidden="false" customHeight="false" outlineLevel="0" collapsed="false"/>
    <row r="638" s="1" customFormat="true" ht="15" hidden="false" customHeight="false" outlineLevel="0" collapsed="false"/>
    <row r="639" s="1" customFormat="true" ht="15" hidden="false" customHeight="false" outlineLevel="0" collapsed="false"/>
    <row r="640" s="1" customFormat="true" ht="15" hidden="false" customHeight="false" outlineLevel="0" collapsed="false"/>
    <row r="641" s="1" customFormat="true" ht="15" hidden="false" customHeight="false" outlineLevel="0" collapsed="false"/>
    <row r="642" s="1" customFormat="true" ht="15" hidden="false" customHeight="false" outlineLevel="0" collapsed="false"/>
    <row r="643" s="1" customFormat="true" ht="15" hidden="false" customHeight="false" outlineLevel="0" collapsed="false"/>
    <row r="644" s="1" customFormat="true" ht="15" hidden="false" customHeight="false" outlineLevel="0" collapsed="false"/>
    <row r="645" s="1" customFormat="true" ht="15" hidden="false" customHeight="false" outlineLevel="0" collapsed="false"/>
    <row r="646" s="1" customFormat="true" ht="15" hidden="false" customHeight="false" outlineLevel="0" collapsed="false"/>
    <row r="647" s="1" customFormat="true" ht="15" hidden="false" customHeight="false" outlineLevel="0" collapsed="false"/>
    <row r="648" s="1" customFormat="true" ht="15" hidden="false" customHeight="false" outlineLevel="0" collapsed="false"/>
    <row r="649" s="1" customFormat="true" ht="15" hidden="false" customHeight="false" outlineLevel="0" collapsed="false"/>
    <row r="650" s="1" customFormat="true" ht="15" hidden="false" customHeight="false" outlineLevel="0" collapsed="false"/>
    <row r="651" s="1" customFormat="true" ht="15" hidden="false" customHeight="false" outlineLevel="0" collapsed="false"/>
    <row r="652" s="1" customFormat="true" ht="15" hidden="false" customHeight="false" outlineLevel="0" collapsed="false"/>
    <row r="653" s="1" customFormat="true" ht="15" hidden="false" customHeight="false" outlineLevel="0" collapsed="false"/>
    <row r="654" s="1" customFormat="true" ht="15" hidden="false" customHeight="false" outlineLevel="0" collapsed="false"/>
    <row r="655" s="1" customFormat="true" ht="15" hidden="false" customHeight="false" outlineLevel="0" collapsed="false"/>
    <row r="656" s="1" customFormat="true" ht="15" hidden="false" customHeight="false" outlineLevel="0" collapsed="false"/>
    <row r="657" s="1" customFormat="true" ht="15" hidden="false" customHeight="false" outlineLevel="0" collapsed="false"/>
    <row r="658" s="1" customFormat="true" ht="15" hidden="false" customHeight="false" outlineLevel="0" collapsed="false"/>
    <row r="659" s="1" customFormat="true" ht="15" hidden="false" customHeight="false" outlineLevel="0" collapsed="false"/>
    <row r="660" s="1" customFormat="true" ht="15" hidden="false" customHeight="false" outlineLevel="0" collapsed="false"/>
    <row r="661" s="1" customFormat="true" ht="15" hidden="false" customHeight="false" outlineLevel="0" collapsed="false"/>
    <row r="662" s="1" customFormat="true" ht="15" hidden="false" customHeight="false" outlineLevel="0" collapsed="false"/>
    <row r="663" s="1" customFormat="true" ht="15" hidden="false" customHeight="false" outlineLevel="0" collapsed="false"/>
    <row r="664" s="1" customFormat="true" ht="15" hidden="false" customHeight="false" outlineLevel="0" collapsed="false"/>
    <row r="665" s="1" customFormat="true" ht="15" hidden="false" customHeight="false" outlineLevel="0" collapsed="false"/>
    <row r="666" s="1" customFormat="true" ht="15" hidden="false" customHeight="false" outlineLevel="0" collapsed="false"/>
    <row r="667" s="1" customFormat="true" ht="15" hidden="false" customHeight="false" outlineLevel="0" collapsed="false"/>
    <row r="668" s="1" customFormat="true" ht="15" hidden="false" customHeight="false" outlineLevel="0" collapsed="false"/>
    <row r="669" s="1" customFormat="true" ht="15" hidden="false" customHeight="false" outlineLevel="0" collapsed="false"/>
    <row r="670" s="1" customFormat="true" ht="15" hidden="false" customHeight="false" outlineLevel="0" collapsed="false"/>
    <row r="671" s="1" customFormat="true" ht="15" hidden="false" customHeight="false" outlineLevel="0" collapsed="false"/>
    <row r="672" s="1" customFormat="true" ht="15" hidden="false" customHeight="false" outlineLevel="0" collapsed="false"/>
    <row r="673" s="1" customFormat="true" ht="15" hidden="false" customHeight="false" outlineLevel="0" collapsed="false"/>
    <row r="674" s="1" customFormat="true" ht="15" hidden="false" customHeight="false" outlineLevel="0" collapsed="false"/>
    <row r="675" s="1" customFormat="true" ht="15" hidden="false" customHeight="false" outlineLevel="0" collapsed="false"/>
    <row r="676" s="1" customFormat="true" ht="15" hidden="false" customHeight="false" outlineLevel="0" collapsed="false"/>
    <row r="677" s="1" customFormat="true" ht="15" hidden="false" customHeight="false" outlineLevel="0" collapsed="false"/>
    <row r="678" s="1" customFormat="true" ht="15" hidden="false" customHeight="false" outlineLevel="0" collapsed="false"/>
    <row r="679" s="1" customFormat="true" ht="15" hidden="false" customHeight="false" outlineLevel="0" collapsed="false"/>
    <row r="680" s="1" customFormat="true" ht="15" hidden="false" customHeight="false" outlineLevel="0" collapsed="false"/>
    <row r="681" s="1" customFormat="true" ht="15" hidden="false" customHeight="false" outlineLevel="0" collapsed="false"/>
    <row r="682" s="1" customFormat="true" ht="15" hidden="false" customHeight="false" outlineLevel="0" collapsed="false"/>
    <row r="683" s="1" customFormat="true" ht="15" hidden="false" customHeight="false" outlineLevel="0" collapsed="false"/>
    <row r="684" s="1" customFormat="true" ht="15" hidden="false" customHeight="false" outlineLevel="0" collapsed="false"/>
    <row r="685" s="1" customFormat="true" ht="15" hidden="false" customHeight="false" outlineLevel="0" collapsed="false"/>
    <row r="686" s="1" customFormat="true" ht="15" hidden="false" customHeight="false" outlineLevel="0" collapsed="false"/>
    <row r="687" s="1" customFormat="true" ht="15" hidden="false" customHeight="false" outlineLevel="0" collapsed="false"/>
    <row r="688" s="1" customFormat="true" ht="15" hidden="false" customHeight="false" outlineLevel="0" collapsed="false"/>
    <row r="689" s="1" customFormat="true" ht="15" hidden="false" customHeight="false" outlineLevel="0" collapsed="false"/>
    <row r="690" s="1" customFormat="true" ht="15" hidden="false" customHeight="false" outlineLevel="0" collapsed="false"/>
    <row r="691" s="1" customFormat="true" ht="15" hidden="false" customHeight="false" outlineLevel="0" collapsed="false"/>
    <row r="692" s="1" customFormat="true" ht="15" hidden="false" customHeight="false" outlineLevel="0" collapsed="false"/>
    <row r="693" s="1" customFormat="true" ht="15" hidden="false" customHeight="false" outlineLevel="0" collapsed="false"/>
    <row r="694" s="1" customFormat="true" ht="15" hidden="false" customHeight="false" outlineLevel="0" collapsed="false"/>
    <row r="695" s="1" customFormat="true" ht="15" hidden="false" customHeight="false" outlineLevel="0" collapsed="false"/>
    <row r="696" s="1" customFormat="true" ht="15" hidden="false" customHeight="false" outlineLevel="0" collapsed="false"/>
    <row r="697" s="1" customFormat="true" ht="15" hidden="false" customHeight="false" outlineLevel="0" collapsed="false"/>
    <row r="698" s="1" customFormat="true" ht="15" hidden="false" customHeight="false" outlineLevel="0" collapsed="false"/>
    <row r="699" s="1" customFormat="true" ht="15" hidden="false" customHeight="false" outlineLevel="0" collapsed="false"/>
    <row r="700" s="1" customFormat="true" ht="15" hidden="false" customHeight="false" outlineLevel="0" collapsed="false"/>
    <row r="701" s="1" customFormat="true" ht="15" hidden="false" customHeight="false" outlineLevel="0" collapsed="false"/>
    <row r="702" s="1" customFormat="true" ht="15" hidden="false" customHeight="false" outlineLevel="0" collapsed="false"/>
    <row r="703" s="1" customFormat="true" ht="15" hidden="false" customHeight="false" outlineLevel="0" collapsed="false"/>
    <row r="704" s="1" customFormat="true" ht="15" hidden="false" customHeight="false" outlineLevel="0" collapsed="false"/>
    <row r="705" s="1" customFormat="true" ht="15" hidden="false" customHeight="false" outlineLevel="0" collapsed="false"/>
    <row r="706" s="1" customFormat="true" ht="15" hidden="false" customHeight="false" outlineLevel="0" collapsed="false"/>
    <row r="707" s="1" customFormat="true" ht="15" hidden="false" customHeight="false" outlineLevel="0" collapsed="false"/>
    <row r="708" s="1" customFormat="true" ht="15" hidden="false" customHeight="false" outlineLevel="0" collapsed="false"/>
    <row r="709" s="1" customFormat="true" ht="15" hidden="false" customHeight="false" outlineLevel="0" collapsed="false"/>
    <row r="710" s="1" customFormat="true" ht="15" hidden="false" customHeight="false" outlineLevel="0" collapsed="false"/>
    <row r="711" s="1" customFormat="true" ht="15" hidden="false" customHeight="false" outlineLevel="0" collapsed="false"/>
    <row r="712" s="1" customFormat="true" ht="15" hidden="false" customHeight="false" outlineLevel="0" collapsed="false"/>
    <row r="713" s="1" customFormat="true" ht="15" hidden="false" customHeight="false" outlineLevel="0" collapsed="false"/>
    <row r="714" s="1" customFormat="true" ht="15" hidden="false" customHeight="false" outlineLevel="0" collapsed="false"/>
    <row r="715" s="1" customFormat="true" ht="15" hidden="false" customHeight="false" outlineLevel="0" collapsed="false"/>
    <row r="716" s="1" customFormat="true" ht="15" hidden="false" customHeight="false" outlineLevel="0" collapsed="false"/>
    <row r="717" s="1" customFormat="true" ht="15" hidden="false" customHeight="false" outlineLevel="0" collapsed="false"/>
    <row r="718" s="1" customFormat="true" ht="15" hidden="false" customHeight="false" outlineLevel="0" collapsed="false"/>
    <row r="719" s="1" customFormat="true" ht="15" hidden="false" customHeight="false" outlineLevel="0" collapsed="false"/>
    <row r="720" s="1" customFormat="true" ht="15" hidden="false" customHeight="false" outlineLevel="0" collapsed="false"/>
    <row r="721" s="1" customFormat="true" ht="15" hidden="false" customHeight="false" outlineLevel="0" collapsed="false"/>
    <row r="722" s="1" customFormat="true" ht="15" hidden="false" customHeight="false" outlineLevel="0" collapsed="false"/>
    <row r="723" s="1" customFormat="true" ht="15" hidden="false" customHeight="false" outlineLevel="0" collapsed="false"/>
    <row r="724" s="1" customFormat="true" ht="15" hidden="false" customHeight="false" outlineLevel="0" collapsed="false"/>
    <row r="725" s="1" customFormat="true" ht="15" hidden="false" customHeight="false" outlineLevel="0" collapsed="false"/>
    <row r="726" s="1" customFormat="true" ht="15" hidden="false" customHeight="false" outlineLevel="0" collapsed="false"/>
    <row r="727" s="1" customFormat="true" ht="15" hidden="false" customHeight="false" outlineLevel="0" collapsed="false"/>
    <row r="728" s="1" customFormat="true" ht="15" hidden="false" customHeight="false" outlineLevel="0" collapsed="false"/>
    <row r="729" s="1" customFormat="true" ht="15" hidden="false" customHeight="false" outlineLevel="0" collapsed="false"/>
    <row r="730" s="1" customFormat="true" ht="15" hidden="false" customHeight="false" outlineLevel="0" collapsed="false"/>
    <row r="731" s="1" customFormat="true" ht="15" hidden="false" customHeight="false" outlineLevel="0" collapsed="false"/>
    <row r="732" s="1" customFormat="true" ht="15" hidden="false" customHeight="false" outlineLevel="0" collapsed="false"/>
    <row r="733" s="1" customFormat="true" ht="15" hidden="false" customHeight="false" outlineLevel="0" collapsed="false"/>
    <row r="734" s="1" customFormat="true" ht="15" hidden="false" customHeight="false" outlineLevel="0" collapsed="false"/>
    <row r="735" s="1" customFormat="true" ht="15" hidden="false" customHeight="false" outlineLevel="0" collapsed="false"/>
    <row r="736" s="1" customFormat="true" ht="15" hidden="false" customHeight="false" outlineLevel="0" collapsed="false"/>
    <row r="737" s="1" customFormat="true" ht="15" hidden="false" customHeight="false" outlineLevel="0" collapsed="false"/>
    <row r="738" s="1" customFormat="true" ht="15" hidden="false" customHeight="false" outlineLevel="0" collapsed="false"/>
    <row r="739" s="1" customFormat="true" ht="15" hidden="false" customHeight="false" outlineLevel="0" collapsed="false"/>
    <row r="740" s="1" customFormat="true" ht="15" hidden="false" customHeight="false" outlineLevel="0" collapsed="false"/>
    <row r="741" s="1" customFormat="true" ht="15" hidden="false" customHeight="false" outlineLevel="0" collapsed="false"/>
    <row r="742" s="1" customFormat="true" ht="15" hidden="false" customHeight="false" outlineLevel="0" collapsed="false"/>
    <row r="743" s="1" customFormat="true" ht="15" hidden="false" customHeight="false" outlineLevel="0" collapsed="false"/>
    <row r="744" s="1" customFormat="true" ht="15" hidden="false" customHeight="false" outlineLevel="0" collapsed="false"/>
    <row r="745" s="1" customFormat="true" ht="15" hidden="false" customHeight="false" outlineLevel="0" collapsed="false"/>
    <row r="746" s="1" customFormat="true" ht="15" hidden="false" customHeight="false" outlineLevel="0" collapsed="false"/>
    <row r="747" s="1" customFormat="true" ht="15" hidden="false" customHeight="false" outlineLevel="0" collapsed="false"/>
    <row r="748" s="1" customFormat="true" ht="15" hidden="false" customHeight="false" outlineLevel="0" collapsed="false"/>
    <row r="749" s="1" customFormat="true" ht="15" hidden="false" customHeight="false" outlineLevel="0" collapsed="false"/>
    <row r="750" s="1" customFormat="true" ht="15" hidden="false" customHeight="false" outlineLevel="0" collapsed="false"/>
    <row r="751" s="1" customFormat="true" ht="15" hidden="false" customHeight="false" outlineLevel="0" collapsed="false"/>
    <row r="752" s="1" customFormat="true" ht="15" hidden="false" customHeight="false" outlineLevel="0" collapsed="false"/>
    <row r="753" s="1" customFormat="true" ht="15" hidden="false" customHeight="false" outlineLevel="0" collapsed="false"/>
    <row r="754" s="1" customFormat="true" ht="15" hidden="false" customHeight="false" outlineLevel="0" collapsed="false"/>
    <row r="755" s="1" customFormat="true" ht="15" hidden="false" customHeight="false" outlineLevel="0" collapsed="false"/>
    <row r="756" s="1" customFormat="true" ht="15" hidden="false" customHeight="false" outlineLevel="0" collapsed="false"/>
    <row r="757" s="1" customFormat="true" ht="15" hidden="false" customHeight="false" outlineLevel="0" collapsed="false"/>
    <row r="758" s="1" customFormat="true" ht="15" hidden="false" customHeight="false" outlineLevel="0" collapsed="false"/>
    <row r="759" s="1" customFormat="true" ht="15" hidden="false" customHeight="false" outlineLevel="0" collapsed="false"/>
    <row r="760" s="1" customFormat="true" ht="15" hidden="false" customHeight="false" outlineLevel="0" collapsed="false"/>
    <row r="761" s="1" customFormat="true" ht="15" hidden="false" customHeight="false" outlineLevel="0" collapsed="false"/>
    <row r="762" s="1" customFormat="true" ht="15" hidden="false" customHeight="false" outlineLevel="0" collapsed="false"/>
    <row r="763" s="1" customFormat="true" ht="15" hidden="false" customHeight="false" outlineLevel="0" collapsed="false"/>
    <row r="764" s="1" customFormat="true" ht="15" hidden="false" customHeight="false" outlineLevel="0" collapsed="false"/>
    <row r="765" s="1" customFormat="true" ht="15" hidden="false" customHeight="false" outlineLevel="0" collapsed="false"/>
    <row r="766" s="1" customFormat="true" ht="15" hidden="false" customHeight="false" outlineLevel="0" collapsed="false"/>
    <row r="767" s="1" customFormat="true" ht="15" hidden="false" customHeight="false" outlineLevel="0" collapsed="false"/>
    <row r="768" s="1" customFormat="true" ht="15" hidden="false" customHeight="false" outlineLevel="0" collapsed="false"/>
    <row r="769" s="1" customFormat="true" ht="15" hidden="false" customHeight="false" outlineLevel="0" collapsed="false"/>
    <row r="770" s="1" customFormat="true" ht="15" hidden="false" customHeight="false" outlineLevel="0" collapsed="false"/>
    <row r="771" s="1" customFormat="true" ht="15" hidden="false" customHeight="false" outlineLevel="0" collapsed="false"/>
    <row r="772" s="1" customFormat="true" ht="15" hidden="false" customHeight="false" outlineLevel="0" collapsed="false"/>
    <row r="773" s="1" customFormat="true" ht="15" hidden="false" customHeight="false" outlineLevel="0" collapsed="false"/>
    <row r="774" s="1" customFormat="true" ht="15" hidden="false" customHeight="false" outlineLevel="0" collapsed="false"/>
    <row r="775" s="1" customFormat="true" ht="15" hidden="false" customHeight="false" outlineLevel="0" collapsed="false"/>
    <row r="776" s="1" customFormat="true" ht="15" hidden="false" customHeight="false" outlineLevel="0" collapsed="false"/>
    <row r="777" s="1" customFormat="true" ht="15" hidden="false" customHeight="false" outlineLevel="0" collapsed="false"/>
    <row r="778" s="1" customFormat="true" ht="15" hidden="false" customHeight="false" outlineLevel="0" collapsed="false"/>
    <row r="779" s="1" customFormat="true" ht="15" hidden="false" customHeight="false" outlineLevel="0" collapsed="false"/>
    <row r="780" s="1" customFormat="true" ht="15" hidden="false" customHeight="false" outlineLevel="0" collapsed="false"/>
    <row r="781" s="1" customFormat="true" ht="15" hidden="false" customHeight="false" outlineLevel="0" collapsed="false"/>
    <row r="782" s="1" customFormat="true" ht="15" hidden="false" customHeight="false" outlineLevel="0" collapsed="false"/>
    <row r="783" s="1" customFormat="true" ht="15" hidden="false" customHeight="false" outlineLevel="0" collapsed="false"/>
    <row r="784" s="1" customFormat="true" ht="15" hidden="false" customHeight="false" outlineLevel="0" collapsed="false"/>
    <row r="785" s="1" customFormat="true" ht="15" hidden="false" customHeight="false" outlineLevel="0" collapsed="false"/>
    <row r="786" s="1" customFormat="true" ht="15" hidden="false" customHeight="false" outlineLevel="0" collapsed="false"/>
    <row r="787" s="1" customFormat="true" ht="15" hidden="false" customHeight="false" outlineLevel="0" collapsed="false"/>
    <row r="788" s="1" customFormat="true" ht="15" hidden="false" customHeight="false" outlineLevel="0" collapsed="false"/>
    <row r="789" s="1" customFormat="true" ht="15" hidden="false" customHeight="false" outlineLevel="0" collapsed="false"/>
    <row r="790" s="1" customFormat="true" ht="15" hidden="false" customHeight="false" outlineLevel="0" collapsed="false"/>
    <row r="791" s="1" customFormat="true" ht="15" hidden="false" customHeight="false" outlineLevel="0" collapsed="false"/>
    <row r="792" s="1" customFormat="true" ht="15" hidden="false" customHeight="false" outlineLevel="0" collapsed="false"/>
    <row r="793" s="1" customFormat="true" ht="15" hidden="false" customHeight="false" outlineLevel="0" collapsed="false"/>
    <row r="794" s="1" customFormat="true" ht="15" hidden="false" customHeight="false" outlineLevel="0" collapsed="false"/>
    <row r="795" s="1" customFormat="true" ht="15" hidden="false" customHeight="false" outlineLevel="0" collapsed="false"/>
    <row r="796" s="1" customFormat="true" ht="15" hidden="false" customHeight="false" outlineLevel="0" collapsed="false"/>
    <row r="797" s="1" customFormat="true" ht="15" hidden="false" customHeight="false" outlineLevel="0" collapsed="false"/>
    <row r="798" s="1" customFormat="true" ht="15" hidden="false" customHeight="false" outlineLevel="0" collapsed="false"/>
    <row r="799" s="1" customFormat="true" ht="15" hidden="false" customHeight="false" outlineLevel="0" collapsed="false"/>
    <row r="800" s="1" customFormat="true" ht="15" hidden="false" customHeight="false" outlineLevel="0" collapsed="false"/>
    <row r="801" s="1" customFormat="true" ht="15" hidden="false" customHeight="false" outlineLevel="0" collapsed="false"/>
    <row r="802" s="1" customFormat="true" ht="15" hidden="false" customHeight="false" outlineLevel="0" collapsed="false"/>
    <row r="803" s="1" customFormat="true" ht="15" hidden="false" customHeight="false" outlineLevel="0" collapsed="false"/>
    <row r="804" s="1" customFormat="true" ht="15" hidden="false" customHeight="false" outlineLevel="0" collapsed="false"/>
    <row r="805" s="1" customFormat="true" ht="15" hidden="false" customHeight="false" outlineLevel="0" collapsed="false"/>
    <row r="806" s="1" customFormat="true" ht="15" hidden="false" customHeight="false" outlineLevel="0" collapsed="false"/>
    <row r="807" s="1" customFormat="true" ht="15" hidden="false" customHeight="false" outlineLevel="0" collapsed="false"/>
    <row r="808" s="1" customFormat="true" ht="15" hidden="false" customHeight="false" outlineLevel="0" collapsed="false"/>
    <row r="809" s="1" customFormat="true" ht="15" hidden="false" customHeight="false" outlineLevel="0" collapsed="false"/>
    <row r="810" s="1" customFormat="true" ht="15" hidden="false" customHeight="false" outlineLevel="0" collapsed="false"/>
    <row r="811" s="1" customFormat="true" ht="15" hidden="false" customHeight="false" outlineLevel="0" collapsed="false"/>
    <row r="812" s="1" customFormat="true" ht="15" hidden="false" customHeight="false" outlineLevel="0" collapsed="false"/>
    <row r="813" s="1" customFormat="true" ht="15" hidden="false" customHeight="false" outlineLevel="0" collapsed="false"/>
    <row r="814" s="1" customFormat="true" ht="15" hidden="false" customHeight="false" outlineLevel="0" collapsed="false"/>
    <row r="815" s="1" customFormat="true" ht="15" hidden="false" customHeight="false" outlineLevel="0" collapsed="false"/>
    <row r="816" s="1" customFormat="true" ht="15" hidden="false" customHeight="false" outlineLevel="0" collapsed="false"/>
    <row r="817" s="1" customFormat="true" ht="15" hidden="false" customHeight="false" outlineLevel="0" collapsed="false"/>
    <row r="818" s="1" customFormat="true" ht="15" hidden="false" customHeight="false" outlineLevel="0" collapsed="false"/>
    <row r="819" s="1" customFormat="true" ht="15" hidden="false" customHeight="false" outlineLevel="0" collapsed="false"/>
    <row r="820" s="1" customFormat="true" ht="15" hidden="false" customHeight="false" outlineLevel="0" collapsed="false"/>
    <row r="821" s="1" customFormat="true" ht="15" hidden="false" customHeight="false" outlineLevel="0" collapsed="false"/>
    <row r="822" s="1" customFormat="true" ht="15" hidden="false" customHeight="false" outlineLevel="0" collapsed="false"/>
    <row r="823" s="1" customFormat="true" ht="15" hidden="false" customHeight="false" outlineLevel="0" collapsed="false"/>
    <row r="824" s="1" customFormat="true" ht="15" hidden="false" customHeight="false" outlineLevel="0" collapsed="false"/>
    <row r="825" s="1" customFormat="true" ht="15" hidden="false" customHeight="false" outlineLevel="0" collapsed="false"/>
    <row r="826" s="1" customFormat="true" ht="15" hidden="false" customHeight="false" outlineLevel="0" collapsed="false"/>
    <row r="827" s="1" customFormat="true" ht="15" hidden="false" customHeight="false" outlineLevel="0" collapsed="false"/>
    <row r="828" s="1" customFormat="true" ht="15" hidden="false" customHeight="false" outlineLevel="0" collapsed="false"/>
    <row r="829" s="1" customFormat="true" ht="15" hidden="false" customHeight="false" outlineLevel="0" collapsed="false"/>
    <row r="830" s="1" customFormat="true" ht="15" hidden="false" customHeight="false" outlineLevel="0" collapsed="false"/>
    <row r="831" s="1" customFormat="true" ht="15" hidden="false" customHeight="false" outlineLevel="0" collapsed="false"/>
    <row r="832" s="1" customFormat="true" ht="15" hidden="false" customHeight="false" outlineLevel="0" collapsed="false"/>
    <row r="833" s="1" customFormat="true" ht="15" hidden="false" customHeight="false" outlineLevel="0" collapsed="false"/>
    <row r="834" s="1" customFormat="true" ht="15" hidden="false" customHeight="false" outlineLevel="0" collapsed="false"/>
    <row r="835" s="1" customFormat="true" ht="15" hidden="false" customHeight="false" outlineLevel="0" collapsed="false"/>
    <row r="836" s="1" customFormat="true" ht="15" hidden="false" customHeight="false" outlineLevel="0" collapsed="false"/>
    <row r="837" s="1" customFormat="true" ht="15" hidden="false" customHeight="false" outlineLevel="0" collapsed="false"/>
    <row r="838" s="1" customFormat="true" ht="15" hidden="false" customHeight="false" outlineLevel="0" collapsed="false"/>
    <row r="839" s="1" customFormat="true" ht="15" hidden="false" customHeight="false" outlineLevel="0" collapsed="false"/>
    <row r="840" s="1" customFormat="true" ht="15" hidden="false" customHeight="false" outlineLevel="0" collapsed="false"/>
    <row r="841" s="1" customFormat="true" ht="15" hidden="false" customHeight="false" outlineLevel="0" collapsed="false"/>
    <row r="842" s="1" customFormat="true" ht="15" hidden="false" customHeight="false" outlineLevel="0" collapsed="false"/>
    <row r="843" s="1" customFormat="true" ht="15" hidden="false" customHeight="false" outlineLevel="0" collapsed="false"/>
    <row r="844" s="1" customFormat="true" ht="15" hidden="false" customHeight="false" outlineLevel="0" collapsed="false"/>
    <row r="845" s="1" customFormat="true" ht="15" hidden="false" customHeight="false" outlineLevel="0" collapsed="false"/>
    <row r="846" s="1" customFormat="true" ht="15" hidden="false" customHeight="false" outlineLevel="0" collapsed="false"/>
    <row r="847" s="1" customFormat="true" ht="15" hidden="false" customHeight="false" outlineLevel="0" collapsed="false"/>
    <row r="848" s="1" customFormat="true" ht="15" hidden="false" customHeight="false" outlineLevel="0" collapsed="false"/>
    <row r="849" s="1" customFormat="true" ht="15" hidden="false" customHeight="false" outlineLevel="0" collapsed="false"/>
    <row r="850" s="1" customFormat="true" ht="15" hidden="false" customHeight="false" outlineLevel="0" collapsed="false"/>
    <row r="851" s="1" customFormat="true" ht="15" hidden="false" customHeight="false" outlineLevel="0" collapsed="false"/>
    <row r="852" s="1" customFormat="true" ht="15" hidden="false" customHeight="false" outlineLevel="0" collapsed="false"/>
    <row r="853" s="1" customFormat="true" ht="15" hidden="false" customHeight="false" outlineLevel="0" collapsed="false"/>
    <row r="854" s="1" customFormat="true" ht="15" hidden="false" customHeight="false" outlineLevel="0" collapsed="false"/>
    <row r="855" s="1" customFormat="true" ht="15" hidden="false" customHeight="false" outlineLevel="0" collapsed="false"/>
    <row r="856" s="1" customFormat="true" ht="15" hidden="false" customHeight="false" outlineLevel="0" collapsed="false"/>
    <row r="857" s="1" customFormat="true" ht="15" hidden="false" customHeight="false" outlineLevel="0" collapsed="false"/>
    <row r="858" s="1" customFormat="true" ht="15" hidden="false" customHeight="false" outlineLevel="0" collapsed="false"/>
    <row r="859" s="1" customFormat="true" ht="15" hidden="false" customHeight="false" outlineLevel="0" collapsed="false"/>
    <row r="860" s="1" customFormat="true" ht="15" hidden="false" customHeight="false" outlineLevel="0" collapsed="false"/>
    <row r="861" s="1" customFormat="true" ht="15" hidden="false" customHeight="false" outlineLevel="0" collapsed="false"/>
    <row r="862" s="1" customFormat="true" ht="15" hidden="false" customHeight="false" outlineLevel="0" collapsed="false"/>
    <row r="863" s="1" customFormat="true" ht="15" hidden="false" customHeight="false" outlineLevel="0" collapsed="false"/>
    <row r="864" s="1" customFormat="true" ht="15" hidden="false" customHeight="false" outlineLevel="0" collapsed="false"/>
    <row r="865" s="1" customFormat="true" ht="15" hidden="false" customHeight="false" outlineLevel="0" collapsed="false"/>
    <row r="866" s="1" customFormat="true" ht="15" hidden="false" customHeight="false" outlineLevel="0" collapsed="false"/>
    <row r="867" s="1" customFormat="true" ht="15" hidden="false" customHeight="false" outlineLevel="0" collapsed="false"/>
    <row r="868" s="1" customFormat="true" ht="15" hidden="false" customHeight="false" outlineLevel="0" collapsed="false"/>
    <row r="869" s="1" customFormat="true" ht="15" hidden="false" customHeight="false" outlineLevel="0" collapsed="false"/>
    <row r="870" s="1" customFormat="true" ht="15" hidden="false" customHeight="false" outlineLevel="0" collapsed="false"/>
    <row r="871" s="1" customFormat="true" ht="15" hidden="false" customHeight="false" outlineLevel="0" collapsed="false"/>
    <row r="872" s="1" customFormat="true" ht="15" hidden="false" customHeight="false" outlineLevel="0" collapsed="false"/>
    <row r="873" s="1" customFormat="true" ht="15" hidden="false" customHeight="false" outlineLevel="0" collapsed="false"/>
    <row r="874" s="1" customFormat="true" ht="15" hidden="false" customHeight="false" outlineLevel="0" collapsed="false"/>
    <row r="875" s="1" customFormat="true" ht="15" hidden="false" customHeight="false" outlineLevel="0" collapsed="false"/>
    <row r="876" s="1" customFormat="true" ht="15" hidden="false" customHeight="false" outlineLevel="0" collapsed="false"/>
    <row r="877" s="1" customFormat="true" ht="15" hidden="false" customHeight="false" outlineLevel="0" collapsed="false"/>
    <row r="878" s="1" customFormat="true" ht="15" hidden="false" customHeight="false" outlineLevel="0" collapsed="false"/>
    <row r="879" s="1" customFormat="true" ht="15" hidden="false" customHeight="false" outlineLevel="0" collapsed="false"/>
    <row r="880" s="1" customFormat="true" ht="15" hidden="false" customHeight="false" outlineLevel="0" collapsed="false"/>
    <row r="881" s="1" customFormat="true" ht="15" hidden="false" customHeight="false" outlineLevel="0" collapsed="false"/>
    <row r="882" s="1" customFormat="true" ht="15" hidden="false" customHeight="false" outlineLevel="0" collapsed="false"/>
    <row r="883" s="1" customFormat="true" ht="15" hidden="false" customHeight="false" outlineLevel="0" collapsed="false"/>
    <row r="884" s="1" customFormat="true" ht="15" hidden="false" customHeight="false" outlineLevel="0" collapsed="false"/>
    <row r="885" s="1" customFormat="true" ht="15" hidden="false" customHeight="false" outlineLevel="0" collapsed="false"/>
    <row r="886" s="1" customFormat="true" ht="15" hidden="false" customHeight="false" outlineLevel="0" collapsed="false"/>
    <row r="887" s="1" customFormat="true" ht="15" hidden="false" customHeight="false" outlineLevel="0" collapsed="false"/>
    <row r="888" s="1" customFormat="true" ht="15" hidden="false" customHeight="false" outlineLevel="0" collapsed="false"/>
    <row r="889" s="1" customFormat="true" ht="15" hidden="false" customHeight="false" outlineLevel="0" collapsed="false"/>
    <row r="890" s="1" customFormat="true" ht="15" hidden="false" customHeight="false" outlineLevel="0" collapsed="false"/>
    <row r="891" s="1" customFormat="true" ht="15" hidden="false" customHeight="false" outlineLevel="0" collapsed="false"/>
    <row r="892" s="1" customFormat="true" ht="15" hidden="false" customHeight="false" outlineLevel="0" collapsed="false"/>
    <row r="893" s="1" customFormat="true" ht="15" hidden="false" customHeight="false" outlineLevel="0" collapsed="false"/>
    <row r="894" s="1" customFormat="true" ht="15" hidden="false" customHeight="false" outlineLevel="0" collapsed="false"/>
    <row r="895" s="1" customFormat="true" ht="15" hidden="false" customHeight="false" outlineLevel="0" collapsed="false"/>
    <row r="896" s="1" customFormat="true" ht="15" hidden="false" customHeight="false" outlineLevel="0" collapsed="false"/>
    <row r="897" s="1" customFormat="true" ht="15" hidden="false" customHeight="false" outlineLevel="0" collapsed="false"/>
    <row r="898" s="1" customFormat="true" ht="15" hidden="false" customHeight="false" outlineLevel="0" collapsed="false"/>
    <row r="899" s="1" customFormat="true" ht="15" hidden="false" customHeight="false" outlineLevel="0" collapsed="false"/>
    <row r="900" s="1" customFormat="true" ht="15" hidden="false" customHeight="false" outlineLevel="0" collapsed="false"/>
    <row r="901" s="1" customFormat="true" ht="15" hidden="false" customHeight="false" outlineLevel="0" collapsed="false"/>
    <row r="902" s="1" customFormat="true" ht="15" hidden="false" customHeight="false" outlineLevel="0" collapsed="false"/>
    <row r="903" s="1" customFormat="true" ht="15" hidden="false" customHeight="false" outlineLevel="0" collapsed="false"/>
    <row r="904" s="1" customFormat="true" ht="15" hidden="false" customHeight="false" outlineLevel="0" collapsed="false"/>
    <row r="905" s="1" customFormat="true" ht="15" hidden="false" customHeight="false" outlineLevel="0" collapsed="false"/>
    <row r="906" s="1" customFormat="true" ht="15" hidden="false" customHeight="false" outlineLevel="0" collapsed="false"/>
    <row r="907" s="1" customFormat="true" ht="15" hidden="false" customHeight="false" outlineLevel="0" collapsed="false"/>
    <row r="908" s="1" customFormat="true" ht="15" hidden="false" customHeight="false" outlineLevel="0" collapsed="false"/>
    <row r="909" s="1" customFormat="true" ht="15" hidden="false" customHeight="false" outlineLevel="0" collapsed="false"/>
    <row r="910" s="1" customFormat="true" ht="15" hidden="false" customHeight="false" outlineLevel="0" collapsed="false"/>
    <row r="911" s="1" customFormat="true" ht="15" hidden="false" customHeight="false" outlineLevel="0" collapsed="false"/>
    <row r="912" s="1" customFormat="true" ht="15" hidden="false" customHeight="false" outlineLevel="0" collapsed="false"/>
    <row r="913" s="1" customFormat="true" ht="15" hidden="false" customHeight="false" outlineLevel="0" collapsed="false"/>
    <row r="914" s="1" customFormat="true" ht="15" hidden="false" customHeight="false" outlineLevel="0" collapsed="false"/>
    <row r="915" s="1" customFormat="true" ht="15" hidden="false" customHeight="false" outlineLevel="0" collapsed="false"/>
    <row r="916" s="1" customFormat="true" ht="15" hidden="false" customHeight="false" outlineLevel="0" collapsed="false"/>
    <row r="917" s="1" customFormat="true" ht="15" hidden="false" customHeight="false" outlineLevel="0" collapsed="false"/>
    <row r="918" s="1" customFormat="true" ht="15" hidden="false" customHeight="false" outlineLevel="0" collapsed="false"/>
    <row r="919" s="1" customFormat="true" ht="15" hidden="false" customHeight="false" outlineLevel="0" collapsed="false"/>
    <row r="920" s="1" customFormat="true" ht="15" hidden="false" customHeight="false" outlineLevel="0" collapsed="false"/>
    <row r="921" s="1" customFormat="true" ht="15" hidden="false" customHeight="false" outlineLevel="0" collapsed="false"/>
    <row r="922" s="1" customFormat="true" ht="15" hidden="false" customHeight="false" outlineLevel="0" collapsed="false"/>
    <row r="923" s="1" customFormat="true" ht="15" hidden="false" customHeight="false" outlineLevel="0" collapsed="false"/>
    <row r="924" s="1" customFormat="true" ht="15" hidden="false" customHeight="false" outlineLevel="0" collapsed="false"/>
    <row r="925" s="1" customFormat="true" ht="15" hidden="false" customHeight="false" outlineLevel="0" collapsed="false"/>
    <row r="926" s="1" customFormat="true" ht="15" hidden="false" customHeight="false" outlineLevel="0" collapsed="false"/>
    <row r="927" s="1" customFormat="true" ht="15" hidden="false" customHeight="false" outlineLevel="0" collapsed="false"/>
    <row r="928" s="1" customFormat="true" ht="15" hidden="false" customHeight="false" outlineLevel="0" collapsed="false"/>
    <row r="929" s="1" customFormat="true" ht="15" hidden="false" customHeight="false" outlineLevel="0" collapsed="false"/>
    <row r="930" s="1" customFormat="true" ht="15" hidden="false" customHeight="false" outlineLevel="0" collapsed="false"/>
    <row r="931" s="1" customFormat="true" ht="15" hidden="false" customHeight="false" outlineLevel="0" collapsed="false"/>
    <row r="932" s="1" customFormat="true" ht="15" hidden="false" customHeight="false" outlineLevel="0" collapsed="false"/>
    <row r="933" s="1" customFormat="true" ht="15" hidden="false" customHeight="false" outlineLevel="0" collapsed="false"/>
    <row r="934" s="1" customFormat="true" ht="15" hidden="false" customHeight="false" outlineLevel="0" collapsed="false"/>
    <row r="935" s="1" customFormat="true" ht="15" hidden="false" customHeight="false" outlineLevel="0" collapsed="false"/>
    <row r="936" s="1" customFormat="true" ht="15" hidden="false" customHeight="false" outlineLevel="0" collapsed="false"/>
    <row r="937" s="1" customFormat="true" ht="15" hidden="false" customHeight="false" outlineLevel="0" collapsed="false"/>
    <row r="938" s="1" customFormat="true" ht="15" hidden="false" customHeight="false" outlineLevel="0" collapsed="false"/>
    <row r="939" s="1" customFormat="true" ht="15" hidden="false" customHeight="false" outlineLevel="0" collapsed="false"/>
    <row r="940" s="1" customFormat="true" ht="15" hidden="false" customHeight="false" outlineLevel="0" collapsed="false"/>
    <row r="941" s="1" customFormat="true" ht="15" hidden="false" customHeight="false" outlineLevel="0" collapsed="false"/>
    <row r="942" s="1" customFormat="true" ht="15" hidden="false" customHeight="false" outlineLevel="0" collapsed="false"/>
    <row r="943" s="1" customFormat="true" ht="15" hidden="false" customHeight="false" outlineLevel="0" collapsed="false"/>
    <row r="944" s="1" customFormat="true" ht="15" hidden="false" customHeight="false" outlineLevel="0" collapsed="false"/>
    <row r="945" s="1" customFormat="true" ht="15" hidden="false" customHeight="false" outlineLevel="0" collapsed="false"/>
    <row r="946" s="1" customFormat="true" ht="15" hidden="false" customHeight="false" outlineLevel="0" collapsed="false"/>
    <row r="947" s="1" customFormat="true" ht="15" hidden="false" customHeight="false" outlineLevel="0" collapsed="false"/>
    <row r="948" s="1" customFormat="true" ht="15" hidden="false" customHeight="false" outlineLevel="0" collapsed="false"/>
    <row r="949" s="1" customFormat="true" ht="15" hidden="false" customHeight="false" outlineLevel="0" collapsed="false"/>
    <row r="950" s="1" customFormat="true" ht="15" hidden="false" customHeight="false" outlineLevel="0" collapsed="false"/>
    <row r="951" s="1" customFormat="true" ht="15" hidden="false" customHeight="false" outlineLevel="0" collapsed="false"/>
    <row r="952" s="1" customFormat="true" ht="15" hidden="false" customHeight="false" outlineLevel="0" collapsed="false"/>
    <row r="953" s="1" customFormat="true" ht="15" hidden="false" customHeight="false" outlineLevel="0" collapsed="false"/>
    <row r="954" s="1" customFormat="true" ht="15" hidden="false" customHeight="false" outlineLevel="0" collapsed="false"/>
    <row r="955" s="1" customFormat="true" ht="15" hidden="false" customHeight="false" outlineLevel="0" collapsed="false"/>
    <row r="956" s="1" customFormat="true" ht="15" hidden="false" customHeight="false" outlineLevel="0" collapsed="false"/>
    <row r="957" s="1" customFormat="true" ht="15" hidden="false" customHeight="false" outlineLevel="0" collapsed="false"/>
    <row r="958" s="1" customFormat="true" ht="15" hidden="false" customHeight="false" outlineLevel="0" collapsed="false"/>
    <row r="959" s="1" customFormat="true" ht="15" hidden="false" customHeight="false" outlineLevel="0" collapsed="false"/>
    <row r="960" s="1" customFormat="true" ht="15" hidden="false" customHeight="false" outlineLevel="0" collapsed="false"/>
    <row r="961" s="1" customFormat="true" ht="15" hidden="false" customHeight="false" outlineLevel="0" collapsed="false"/>
    <row r="962" s="1" customFormat="true" ht="15" hidden="false" customHeight="false" outlineLevel="0" collapsed="false"/>
    <row r="963" s="1" customFormat="true" ht="15" hidden="false" customHeight="false" outlineLevel="0" collapsed="false"/>
    <row r="964" s="1" customFormat="true" ht="15" hidden="false" customHeight="false" outlineLevel="0" collapsed="false"/>
    <row r="965" s="1" customFormat="true" ht="15" hidden="false" customHeight="false" outlineLevel="0" collapsed="false"/>
    <row r="966" s="1" customFormat="true" ht="15" hidden="false" customHeight="false" outlineLevel="0" collapsed="false"/>
    <row r="967" s="1" customFormat="true" ht="15" hidden="false" customHeight="false" outlineLevel="0" collapsed="false"/>
    <row r="968" s="1" customFormat="true" ht="15" hidden="false" customHeight="false" outlineLevel="0" collapsed="false"/>
    <row r="969" s="1" customFormat="true" ht="15" hidden="false" customHeight="false" outlineLevel="0" collapsed="false"/>
    <row r="970" s="1" customFormat="true" ht="15" hidden="false" customHeight="false" outlineLevel="0" collapsed="false"/>
    <row r="971" s="1" customFormat="true" ht="15" hidden="false" customHeight="false" outlineLevel="0" collapsed="false"/>
    <row r="972" s="1" customFormat="true" ht="15" hidden="false" customHeight="false" outlineLevel="0" collapsed="false"/>
    <row r="973" s="1" customFormat="true" ht="15" hidden="false" customHeight="false" outlineLevel="0" collapsed="false"/>
    <row r="974" s="1" customFormat="true" ht="15" hidden="false" customHeight="false" outlineLevel="0" collapsed="false"/>
    <row r="975" s="1" customFormat="true" ht="15" hidden="false" customHeight="false" outlineLevel="0" collapsed="false"/>
    <row r="976" s="1" customFormat="true" ht="15" hidden="false" customHeight="false" outlineLevel="0" collapsed="false"/>
    <row r="977" s="1" customFormat="true" ht="15" hidden="false" customHeight="false" outlineLevel="0" collapsed="false"/>
    <row r="978" s="1" customFormat="true" ht="15" hidden="false" customHeight="false" outlineLevel="0" collapsed="false"/>
    <row r="979" s="1" customFormat="true" ht="15" hidden="false" customHeight="false" outlineLevel="0" collapsed="false"/>
    <row r="980" s="1" customFormat="true" ht="15" hidden="false" customHeight="false" outlineLevel="0" collapsed="false"/>
    <row r="981" s="1" customFormat="true" ht="15" hidden="false" customHeight="false" outlineLevel="0" collapsed="false"/>
    <row r="982" s="1" customFormat="true" ht="15" hidden="false" customHeight="false" outlineLevel="0" collapsed="false"/>
    <row r="983" s="1" customFormat="true" ht="15" hidden="false" customHeight="false" outlineLevel="0" collapsed="false"/>
    <row r="984" s="1" customFormat="true" ht="15" hidden="false" customHeight="false" outlineLevel="0" collapsed="false"/>
    <row r="985" s="1" customFormat="true" ht="15" hidden="false" customHeight="false" outlineLevel="0" collapsed="false"/>
    <row r="986" s="1" customFormat="true" ht="15" hidden="false" customHeight="false" outlineLevel="0" collapsed="false"/>
    <row r="987" s="1" customFormat="true" ht="15" hidden="false" customHeight="false" outlineLevel="0" collapsed="false"/>
    <row r="988" s="1" customFormat="true" ht="15" hidden="false" customHeight="false" outlineLevel="0" collapsed="false"/>
    <row r="989" s="1" customFormat="true" ht="15" hidden="false" customHeight="false" outlineLevel="0" collapsed="false"/>
    <row r="990" s="1" customFormat="true" ht="15" hidden="false" customHeight="false" outlineLevel="0" collapsed="false"/>
    <row r="991" s="1" customFormat="true" ht="15" hidden="false" customHeight="false" outlineLevel="0" collapsed="false"/>
    <row r="992" s="1" customFormat="true" ht="15" hidden="false" customHeight="false" outlineLevel="0" collapsed="false"/>
    <row r="993" s="1" customFormat="true" ht="15" hidden="false" customHeight="false" outlineLevel="0" collapsed="false"/>
    <row r="994" s="1" customFormat="true" ht="15" hidden="false" customHeight="false" outlineLevel="0" collapsed="false"/>
    <row r="995" s="1" customFormat="true" ht="15" hidden="false" customHeight="false" outlineLevel="0" collapsed="false"/>
    <row r="996" s="1" customFormat="true" ht="15" hidden="false" customHeight="false" outlineLevel="0" collapsed="false"/>
    <row r="997" s="1" customFormat="true" ht="15" hidden="false" customHeight="false" outlineLevel="0" collapsed="false"/>
    <row r="998" s="1" customFormat="true" ht="15" hidden="false" customHeight="false" outlineLevel="0" collapsed="false"/>
    <row r="999" s="1" customFormat="true" ht="15" hidden="false" customHeight="false" outlineLevel="0" collapsed="false"/>
    <row r="1000" s="1" customFormat="true" ht="15" hidden="false" customHeight="false" outlineLevel="0" collapsed="false"/>
    <row r="1001" s="1" customFormat="true" ht="15" hidden="false" customHeight="false" outlineLevel="0" collapsed="false"/>
    <row r="1002" s="1" customFormat="true" ht="15" hidden="false" customHeight="false" outlineLevel="0" collapsed="false"/>
    <row r="1003" s="1" customFormat="true" ht="15" hidden="false" customHeight="false" outlineLevel="0" collapsed="false"/>
    <row r="1004" s="1" customFormat="true" ht="15" hidden="false" customHeight="false" outlineLevel="0" collapsed="false"/>
    <row r="1005" s="1" customFormat="true" ht="15" hidden="false" customHeight="false" outlineLevel="0" collapsed="false"/>
    <row r="1006" s="1" customFormat="true" ht="15" hidden="false" customHeight="false" outlineLevel="0" collapsed="false"/>
    <row r="1007" s="1" customFormat="true" ht="15" hidden="false" customHeight="false" outlineLevel="0" collapsed="false"/>
    <row r="1008" s="1" customFormat="true" ht="15" hidden="false" customHeight="false" outlineLevel="0" collapsed="false"/>
    <row r="1009" s="1" customFormat="true" ht="15" hidden="false" customHeight="false" outlineLevel="0" collapsed="false"/>
    <row r="1010" s="1" customFormat="true" ht="15" hidden="false" customHeight="false" outlineLevel="0" collapsed="false"/>
    <row r="1011" s="1" customFormat="true" ht="15" hidden="false" customHeight="false" outlineLevel="0" collapsed="false"/>
    <row r="1012" s="1" customFormat="true" ht="15" hidden="false" customHeight="false" outlineLevel="0" collapsed="false"/>
    <row r="1013" s="1" customFormat="true" ht="15" hidden="false" customHeight="false" outlineLevel="0" collapsed="false"/>
    <row r="1014" s="1" customFormat="true" ht="15" hidden="false" customHeight="false" outlineLevel="0" collapsed="false"/>
    <row r="1015" s="1" customFormat="true" ht="15" hidden="false" customHeight="false" outlineLevel="0" collapsed="false"/>
    <row r="1016" s="1" customFormat="true" ht="15" hidden="false" customHeight="false" outlineLevel="0" collapsed="false"/>
    <row r="1017" s="1" customFormat="true" ht="15" hidden="false" customHeight="false" outlineLevel="0" collapsed="false"/>
    <row r="1018" s="1" customFormat="true" ht="15" hidden="false" customHeight="false" outlineLevel="0" collapsed="false"/>
    <row r="1019" s="1" customFormat="true" ht="15" hidden="false" customHeight="false" outlineLevel="0" collapsed="false"/>
    <row r="1020" s="1" customFormat="true" ht="15" hidden="false" customHeight="false" outlineLevel="0" collapsed="false"/>
    <row r="1021" s="1" customFormat="true" ht="15" hidden="false" customHeight="false" outlineLevel="0" collapsed="false"/>
    <row r="1022" s="1" customFormat="true" ht="15" hidden="false" customHeight="false" outlineLevel="0" collapsed="false"/>
    <row r="1023" s="1" customFormat="true" ht="15" hidden="false" customHeight="false" outlineLevel="0" collapsed="false"/>
    <row r="1024" s="1" customFormat="true" ht="15" hidden="false" customHeight="false" outlineLevel="0" collapsed="false"/>
    <row r="1025" s="1" customFormat="true" ht="15" hidden="false" customHeight="false" outlineLevel="0" collapsed="false"/>
    <row r="1026" s="1" customFormat="true" ht="15" hidden="false" customHeight="false" outlineLevel="0" collapsed="false"/>
    <row r="1027" s="1" customFormat="true" ht="15" hidden="false" customHeight="false" outlineLevel="0" collapsed="false"/>
    <row r="1028" s="1" customFormat="true" ht="15" hidden="false" customHeight="false" outlineLevel="0" collapsed="false"/>
    <row r="1029" s="1" customFormat="true" ht="15" hidden="false" customHeight="false" outlineLevel="0" collapsed="false"/>
    <row r="1030" s="1" customFormat="true" ht="15" hidden="false" customHeight="false" outlineLevel="0" collapsed="false"/>
    <row r="1031" s="1" customFormat="true" ht="15" hidden="false" customHeight="false" outlineLevel="0" collapsed="false"/>
    <row r="1032" s="1" customFormat="true" ht="15" hidden="false" customHeight="false" outlineLevel="0" collapsed="false"/>
    <row r="1033" s="1" customFormat="true" ht="15" hidden="false" customHeight="false" outlineLevel="0" collapsed="false"/>
    <row r="1034" s="1" customFormat="true" ht="15" hidden="false" customHeight="false" outlineLevel="0" collapsed="false"/>
    <row r="1035" s="1" customFormat="true" ht="15" hidden="false" customHeight="false" outlineLevel="0" collapsed="false"/>
    <row r="1036" s="1" customFormat="true" ht="15" hidden="false" customHeight="false" outlineLevel="0" collapsed="false"/>
    <row r="1037" s="1" customFormat="true" ht="15" hidden="false" customHeight="false" outlineLevel="0" collapsed="false"/>
    <row r="1038" s="1" customFormat="true" ht="15" hidden="false" customHeight="false" outlineLevel="0" collapsed="false"/>
    <row r="1039" s="1" customFormat="true" ht="15" hidden="false" customHeight="false" outlineLevel="0" collapsed="false"/>
    <row r="1040" s="1" customFormat="true" ht="15" hidden="false" customHeight="false" outlineLevel="0" collapsed="false"/>
    <row r="1041" s="1" customFormat="true" ht="15" hidden="false" customHeight="false" outlineLevel="0" collapsed="false"/>
    <row r="1042" s="1" customFormat="true" ht="15" hidden="false" customHeight="false" outlineLevel="0" collapsed="false"/>
    <row r="1043" s="1" customFormat="true" ht="15" hidden="false" customHeight="false" outlineLevel="0" collapsed="false"/>
    <row r="1044" s="1" customFormat="true" ht="15" hidden="false" customHeight="false" outlineLevel="0" collapsed="false"/>
    <row r="1045" s="1" customFormat="true" ht="15" hidden="false" customHeight="false" outlineLevel="0" collapsed="false"/>
    <row r="1046" s="1" customFormat="true" ht="15" hidden="false" customHeight="false" outlineLevel="0" collapsed="false"/>
    <row r="1047" s="1" customFormat="true" ht="15" hidden="false" customHeight="false" outlineLevel="0" collapsed="false"/>
    <row r="1048" s="1" customFormat="true" ht="15" hidden="false" customHeight="false" outlineLevel="0" collapsed="false"/>
    <row r="1049" s="1" customFormat="true" ht="15" hidden="false" customHeight="false" outlineLevel="0" collapsed="false"/>
    <row r="1050" s="1" customFormat="true" ht="15" hidden="false" customHeight="false" outlineLevel="0" collapsed="false"/>
    <row r="1051" s="1" customFormat="true" ht="15" hidden="false" customHeight="false" outlineLevel="0" collapsed="false"/>
    <row r="1052" s="1" customFormat="true" ht="15" hidden="false" customHeight="false" outlineLevel="0" collapsed="false"/>
    <row r="1053" s="1" customFormat="true" ht="15" hidden="false" customHeight="false" outlineLevel="0" collapsed="false"/>
    <row r="1054" s="1" customFormat="true" ht="15" hidden="false" customHeight="false" outlineLevel="0" collapsed="false"/>
    <row r="1055" s="1" customFormat="true" ht="15" hidden="false" customHeight="false" outlineLevel="0" collapsed="false"/>
    <row r="1056" s="1" customFormat="true" ht="15" hidden="false" customHeight="false" outlineLevel="0" collapsed="false"/>
    <row r="1057" s="1" customFormat="true" ht="15" hidden="false" customHeight="false" outlineLevel="0" collapsed="false"/>
    <row r="1058" s="1" customFormat="true" ht="15" hidden="false" customHeight="false" outlineLevel="0" collapsed="false"/>
    <row r="1059" s="1" customFormat="true" ht="15" hidden="false" customHeight="false" outlineLevel="0" collapsed="false"/>
    <row r="1060" s="1" customFormat="true" ht="15" hidden="false" customHeight="false" outlineLevel="0" collapsed="false"/>
    <row r="1061" s="1" customFormat="true" ht="15" hidden="false" customHeight="false" outlineLevel="0" collapsed="false"/>
    <row r="1062" s="1" customFormat="true" ht="15" hidden="false" customHeight="false" outlineLevel="0" collapsed="false"/>
    <row r="1063" s="1" customFormat="true" ht="15" hidden="false" customHeight="false" outlineLevel="0" collapsed="false"/>
    <row r="1064" s="1" customFormat="true" ht="15" hidden="false" customHeight="false" outlineLevel="0" collapsed="false"/>
    <row r="1065" s="1" customFormat="true" ht="15" hidden="false" customHeight="false" outlineLevel="0" collapsed="false"/>
    <row r="1066" s="1" customFormat="true" ht="15" hidden="false" customHeight="false" outlineLevel="0" collapsed="false"/>
    <row r="1067" s="1" customFormat="true" ht="15" hidden="false" customHeight="false" outlineLevel="0" collapsed="false"/>
    <row r="1068" s="1" customFormat="true" ht="15" hidden="false" customHeight="false" outlineLevel="0" collapsed="false"/>
    <row r="1069" s="1" customFormat="true" ht="15" hidden="false" customHeight="false" outlineLevel="0" collapsed="false"/>
    <row r="1070" s="1" customFormat="true" ht="15" hidden="false" customHeight="false" outlineLevel="0" collapsed="false"/>
    <row r="1071" s="1" customFormat="true" ht="15" hidden="false" customHeight="false" outlineLevel="0" collapsed="false"/>
    <row r="1072" s="1" customFormat="true" ht="15" hidden="false" customHeight="false" outlineLevel="0" collapsed="false"/>
    <row r="1073" s="1" customFormat="true" ht="15" hidden="false" customHeight="false" outlineLevel="0" collapsed="false"/>
    <row r="1074" s="1" customFormat="true" ht="15" hidden="false" customHeight="false" outlineLevel="0" collapsed="false"/>
    <row r="1075" s="1" customFormat="true" ht="15" hidden="false" customHeight="false" outlineLevel="0" collapsed="false"/>
    <row r="1076" s="1" customFormat="true" ht="15" hidden="false" customHeight="false" outlineLevel="0" collapsed="false"/>
    <row r="1077" s="1" customFormat="true" ht="15" hidden="false" customHeight="false" outlineLevel="0" collapsed="false"/>
  </sheetData>
  <autoFilter ref="A1:AG77">
    <filterColumn colId="1">
      <filters>
        <filter val="Fractal Analytics"/>
        <filter val="Publicis Sapient"/>
        <filter val="Statusneo"/>
      </filters>
    </filterColumn>
  </autoFilter>
  <hyperlinks>
    <hyperlink ref="V3" r:id="rId1" display="https://www.linkedin.com/company/infosys/insights/"/>
    <hyperlink ref="V4" r:id="rId2" display="https://www.linkedin.com/company/accenture/insights/"/>
    <hyperlink ref="V5" r:id="rId3" display="https://www.linkedin.com/company/cognizant/insights/"/>
    <hyperlink ref="V6" r:id="rId4" display="https://www.linkedin.com/company/nagarro/insights/"/>
    <hyperlink ref="V38" r:id="rId5" display="https://www.linkedin.com/company/infosys/insights/"/>
    <hyperlink ref="V41" r:id="rId6" display="https://www.linkedin.com/company/accenture/insights/"/>
    <hyperlink ref="V42" r:id="rId7" display="https://www.linkedin.com/company/cognizant/insights/"/>
    <hyperlink ref="V45" r:id="rId8" display="https://www.linkedin.com/company/nagarro/insight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612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2026-07-23T06:16:59Z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