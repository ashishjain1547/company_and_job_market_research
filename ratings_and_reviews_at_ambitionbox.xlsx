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<sst xmlns="http://schemas.openxmlformats.org/spreadsheetml/2006/main" count="849" uniqueCount="506">
  <si>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</si>
  <si>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</si>
  <si>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</si>
  <si>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</si>
  <si>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</si>
  <si>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</si>
  <si>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</si>
  <si>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</si>
  <si>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</si>
  <si>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</si>
  <si>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</si>
  <si>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</si>
  <si>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</si>
  <si>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</si>
  <si>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</si>
  <si>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</si>
  <si>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</si>
  <si>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</si>
  <si>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</si>
  <si>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</si>
  <si>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</si>
  <si>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 URL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</si>
  <si>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</si>
  <si>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</si>
  <si>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</si>
  <si>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</si>
  <si>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</si>
  <si>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</si>
  <si>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</si>
  <si>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</si>
  <si>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</si>
  <si>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 – Date Sensitive Metric</t>
  </si>
  <si>
    <t xml:space="preserve">New Hires (Past 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</si>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</sst>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7"/>
  <sheetViews>
    <sheetView showFormulas="false" showGridLines="true" showRowColHeaders="true" showZeros="true" rightToLeft="false" tabSelected="true" showOutlineSymbols="true" defaultGridColor="true" view="normal" topLeftCell="O1" colorId="64" zoomScale="75" zoomScaleNormal="75" zoomScalePageLayoutView="100" workbookViewId="0">
      <pane xSplit="0" ySplit="1" topLeftCell="E2" activePane="bottomLeft" state="frozen"/>
      <selection pane="topLeft" activeCell="O1" activeCellId="0" sqref="O1"/>
      <selection pane="bottomLeft" activeCell="V2" activeCellId="0" sqref="V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.96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19" min="19" style="1" width="8.49"/>
    <col collapsed="false" customWidth="true" hidden="false" outlineLevel="0" max="20" min="20" style="1" width="7.68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0.13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4.9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  <col collapsed="false" customWidth="true" hidden="false" outlineLevel="0" max="32" min="32" style="1" width="6.37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customFormat="false" ht="15" hidden="fals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1" t="n">
        <v>-65</v>
      </c>
      <c r="AG2" s="1" t="n">
        <v>275</v>
      </c>
    </row>
    <row r="3" s="4" customFormat="true" ht="16.4" hidden="false" customHeight="false" outlineLevel="0" collapsed="false">
      <c r="A3" s="3" t="s">
        <v>33</v>
      </c>
      <c r="B3" s="3" t="s">
        <v>43</v>
      </c>
      <c r="C3" s="3" t="n">
        <v>3.5</v>
      </c>
      <c r="D3" s="3" t="n">
        <v>47300</v>
      </c>
      <c r="E3" s="3" t="n">
        <v>-3</v>
      </c>
      <c r="F3" s="3" t="n">
        <f aca="false">ROUND((C3-AVERAGE(C2:C201))/AVERAGE(C2:C201) * 100,0)</f>
        <v>-5</v>
      </c>
      <c r="G3" s="3" t="s">
        <v>44</v>
      </c>
      <c r="H3" s="3" t="n">
        <v>3.6</v>
      </c>
      <c r="I3" s="3" t="n">
        <v>2.7</v>
      </c>
      <c r="J3" s="3" t="n">
        <v>3.6</v>
      </c>
      <c r="K3" s="3" t="n">
        <v>3.3</v>
      </c>
      <c r="L3" s="3" t="n">
        <v>3.5</v>
      </c>
      <c r="M3" s="3" t="n">
        <v>3.9</v>
      </c>
      <c r="N3" s="3" t="n">
        <v>2.6</v>
      </c>
      <c r="O3" s="3" t="n">
        <v>1981</v>
      </c>
      <c r="P3" s="3" t="n">
        <v>100000</v>
      </c>
      <c r="Q3" s="3" t="n">
        <v>100000</v>
      </c>
      <c r="R3" s="3" t="s">
        <v>45</v>
      </c>
      <c r="S3" s="3" t="s">
        <v>46</v>
      </c>
      <c r="T3" s="3"/>
      <c r="U3" s="3"/>
      <c r="V3" s="3" t="s">
        <v>47</v>
      </c>
      <c r="W3" s="3" t="s">
        <v>48</v>
      </c>
      <c r="X3" s="3" t="s">
        <v>41</v>
      </c>
      <c r="Y3" s="3" t="n">
        <v>24.3</v>
      </c>
      <c r="Z3" s="3" t="s">
        <v>49</v>
      </c>
      <c r="AA3" s="3" t="n">
        <v>13</v>
      </c>
      <c r="AB3" s="3" t="n">
        <v>4.2</v>
      </c>
      <c r="AC3" s="3" t="n">
        <v>0</v>
      </c>
      <c r="AD3" s="3" t="n">
        <v>5</v>
      </c>
      <c r="AE3" s="3" t="n">
        <v>14</v>
      </c>
      <c r="AF3" s="4" t="n">
        <v>-30</v>
      </c>
      <c r="AG3" s="4" t="n">
        <v>18644</v>
      </c>
    </row>
    <row r="4" customFormat="false" ht="16.4" hidden="fals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1" t="n">
        <v>-23</v>
      </c>
      <c r="AG4" s="1" t="n">
        <v>55714</v>
      </c>
    </row>
    <row r="5" s="4" customFormat="true" ht="16.4" hidden="false" customHeight="false" outlineLevel="0" collapsed="false">
      <c r="A5" s="3" t="s">
        <v>33</v>
      </c>
      <c r="B5" s="3" t="s">
        <v>58</v>
      </c>
      <c r="C5" s="3" t="n">
        <v>3.6</v>
      </c>
      <c r="D5" s="3" t="n">
        <v>59900</v>
      </c>
      <c r="E5" s="3" t="n">
        <v>0</v>
      </c>
      <c r="F5" s="3" t="n">
        <f aca="false">ROUND((C5-AVERAGE(C2:C203))/AVERAGE(C2:C203) * 100,0)</f>
        <v>-2</v>
      </c>
      <c r="G5" s="3" t="s">
        <v>59</v>
      </c>
      <c r="H5" s="3" t="n">
        <v>3.5</v>
      </c>
      <c r="I5" s="3" t="n">
        <v>3.2</v>
      </c>
      <c r="J5" s="3" t="n">
        <v>3.6</v>
      </c>
      <c r="K5" s="3" t="n">
        <v>3.4</v>
      </c>
      <c r="L5" s="3" t="n">
        <v>3.6</v>
      </c>
      <c r="M5" s="3" t="n">
        <v>3.6</v>
      </c>
      <c r="N5" s="3" t="n">
        <v>2.9</v>
      </c>
      <c r="O5" s="3" t="n">
        <v>1994</v>
      </c>
      <c r="P5" s="3" t="n">
        <v>256000</v>
      </c>
      <c r="Q5" s="3" t="n">
        <v>357600</v>
      </c>
      <c r="R5" s="3" t="s">
        <v>60</v>
      </c>
      <c r="S5" s="3" t="s">
        <v>46</v>
      </c>
      <c r="T5" s="3" t="s">
        <v>61</v>
      </c>
      <c r="U5" s="3"/>
      <c r="V5" s="3" t="s">
        <v>62</v>
      </c>
      <c r="W5" s="3" t="s">
        <v>63</v>
      </c>
      <c r="X5" s="3" t="s">
        <v>41</v>
      </c>
      <c r="Y5" s="3" t="n">
        <v>28.3</v>
      </c>
      <c r="Z5" s="3" t="s">
        <v>64</v>
      </c>
      <c r="AA5" s="3" t="n">
        <v>13</v>
      </c>
      <c r="AB5" s="3" t="n">
        <v>4.3</v>
      </c>
      <c r="AC5" s="3" t="n">
        <v>1</v>
      </c>
      <c r="AD5" s="3" t="n">
        <v>3</v>
      </c>
      <c r="AE5" s="3" t="n">
        <v>9</v>
      </c>
      <c r="AF5" s="4" t="n">
        <v>-42</v>
      </c>
      <c r="AG5" s="4" t="n">
        <v>24573</v>
      </c>
    </row>
    <row r="6" customFormat="false" ht="16.4" hidden="fals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1" t="n">
        <v>-44</v>
      </c>
      <c r="AG6" s="1" t="n">
        <v>1502</v>
      </c>
    </row>
    <row r="7" s="4" customFormat="true" ht="15" hidden="false" customHeight="false" outlineLevel="0" collapsed="false">
      <c r="A7" s="3" t="s">
        <v>33</v>
      </c>
      <c r="B7" s="3" t="s">
        <v>72</v>
      </c>
      <c r="C7" s="3" t="n">
        <v>4.1</v>
      </c>
      <c r="D7" s="3" t="n">
        <v>3800</v>
      </c>
      <c r="E7" s="3" t="n">
        <v>11</v>
      </c>
      <c r="F7" s="3" t="n">
        <f aca="false">ROUND((C7-AVERAGE(C2:C205))/AVERAGE(C2:C205) * 100,0)</f>
        <v>11</v>
      </c>
      <c r="G7" s="3" t="s">
        <v>73</v>
      </c>
      <c r="H7" s="3" t="n">
        <v>4.1</v>
      </c>
      <c r="I7" s="3" t="n">
        <v>4</v>
      </c>
      <c r="J7" s="3" t="n">
        <v>4.1</v>
      </c>
      <c r="K7" s="3" t="n">
        <v>3.8</v>
      </c>
      <c r="L7" s="3" t="n">
        <v>3.7</v>
      </c>
      <c r="M7" s="3" t="n">
        <v>4</v>
      </c>
      <c r="N7" s="3" t="n">
        <v>3.3</v>
      </c>
      <c r="O7" s="3" t="n">
        <v>1850</v>
      </c>
      <c r="P7" s="3" t="n">
        <v>15000</v>
      </c>
      <c r="Q7" s="3" t="n">
        <v>76800</v>
      </c>
      <c r="R7" s="3" t="s">
        <v>74</v>
      </c>
      <c r="S7" s="3" t="s">
        <v>75</v>
      </c>
      <c r="T7" s="3" t="s">
        <v>76</v>
      </c>
      <c r="U7" s="3"/>
      <c r="V7" s="3" t="s">
        <v>77</v>
      </c>
      <c r="W7" s="3" t="s">
        <v>78</v>
      </c>
      <c r="X7" s="3" t="s">
        <v>41</v>
      </c>
      <c r="Y7" s="3" t="n">
        <v>49.8</v>
      </c>
      <c r="Z7" s="3" t="s">
        <v>79</v>
      </c>
      <c r="AA7" s="3" t="n">
        <v>13</v>
      </c>
      <c r="AB7" s="3" t="n">
        <v>4.3</v>
      </c>
      <c r="AC7" s="3" t="n">
        <v>14</v>
      </c>
      <c r="AD7" s="3" t="n">
        <v>20</v>
      </c>
      <c r="AE7" s="3" t="n">
        <v>28</v>
      </c>
      <c r="AF7" s="4" t="n">
        <v>-3</v>
      </c>
      <c r="AG7" s="4" t="n">
        <v>15847</v>
      </c>
    </row>
    <row r="8" customFormat="false" ht="15" hidden="fals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1" t="n">
        <v>103</v>
      </c>
      <c r="AG8" s="1" t="n">
        <v>279</v>
      </c>
    </row>
    <row r="9" s="4" customFormat="true" ht="15" hidden="false" customHeight="false" outlineLevel="0" collapsed="false">
      <c r="A9" s="3" t="s">
        <v>87</v>
      </c>
      <c r="B9" s="3" t="s">
        <v>88</v>
      </c>
      <c r="C9" s="3" t="n">
        <v>3.7</v>
      </c>
      <c r="D9" s="3" t="n">
        <v>148</v>
      </c>
      <c r="E9" s="3" t="n">
        <v>0</v>
      </c>
      <c r="F9" s="3" t="n">
        <f aca="false">ROUND((C9-AVERAGE(C2:C207))/AVERAGE(C2:C207) * 100,0)</f>
        <v>0</v>
      </c>
      <c r="G9" s="3" t="s">
        <v>89</v>
      </c>
      <c r="H9" s="3" t="n">
        <v>3.6</v>
      </c>
      <c r="I9" s="3" t="n">
        <v>3.3</v>
      </c>
      <c r="J9" s="3" t="n">
        <v>4</v>
      </c>
      <c r="K9" s="3" t="n">
        <v>3.4</v>
      </c>
      <c r="L9" s="3" t="n">
        <v>3.8</v>
      </c>
      <c r="M9" s="3" t="n">
        <v>3.7</v>
      </c>
      <c r="N9" s="3" t="n">
        <v>2.7</v>
      </c>
      <c r="O9" s="3" t="n">
        <v>1991</v>
      </c>
      <c r="P9" s="3" t="n">
        <v>50000</v>
      </c>
      <c r="Q9" s="3" t="n">
        <v>160000</v>
      </c>
      <c r="R9" s="3" t="s">
        <v>90</v>
      </c>
      <c r="S9" s="3" t="s">
        <v>46</v>
      </c>
      <c r="T9" s="3"/>
      <c r="U9" s="3"/>
      <c r="V9" s="3" t="s">
        <v>91</v>
      </c>
      <c r="W9" s="3" t="s">
        <v>92</v>
      </c>
      <c r="X9" s="3" t="s">
        <v>41</v>
      </c>
      <c r="Y9" s="3" t="n">
        <v>47.3</v>
      </c>
      <c r="Z9" s="3" t="s">
        <v>93</v>
      </c>
      <c r="AA9" s="3" t="n">
        <v>13</v>
      </c>
      <c r="AB9" s="3" t="n">
        <v>5.7</v>
      </c>
      <c r="AC9" s="3" t="n">
        <v>8</v>
      </c>
      <c r="AD9" s="3" t="n">
        <v>9</v>
      </c>
      <c r="AE9" s="3" t="n">
        <v>10</v>
      </c>
      <c r="AF9" s="4" t="n">
        <v>65</v>
      </c>
      <c r="AG9" s="4" t="n">
        <v>37274</v>
      </c>
    </row>
    <row r="10" customFormat="false" ht="15" hidden="fals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1" t="n">
        <v>65</v>
      </c>
      <c r="AG10" s="1" t="n">
        <v>37274</v>
      </c>
    </row>
    <row r="11" s="4" customFormat="true" ht="15" hidden="false" customHeight="false" outlineLevel="0" collapsed="false">
      <c r="A11" s="3" t="s">
        <v>98</v>
      </c>
      <c r="B11" s="3" t="s">
        <v>99</v>
      </c>
      <c r="C11" s="3" t="n">
        <v>3.1</v>
      </c>
      <c r="D11" s="3" t="n">
        <v>2800</v>
      </c>
      <c r="E11" s="3" t="n">
        <v>-14</v>
      </c>
      <c r="F11" s="3" t="n">
        <f aca="false">ROUND((C11-AVERAGE(C2:C209))/AVERAGE(C2:C209) * 100,0)</f>
        <v>-16</v>
      </c>
      <c r="G11" s="3" t="s">
        <v>100</v>
      </c>
      <c r="H11" s="3" t="n">
        <v>3.1</v>
      </c>
      <c r="I11" s="3" t="n">
        <v>3.6</v>
      </c>
      <c r="J11" s="3" t="n">
        <v>2</v>
      </c>
      <c r="K11" s="3" t="n">
        <v>2.7</v>
      </c>
      <c r="L11" s="3" t="n">
        <v>3.1</v>
      </c>
      <c r="M11" s="3" t="n">
        <v>3.2</v>
      </c>
      <c r="N11" s="3" t="n">
        <v>3</v>
      </c>
      <c r="O11" s="3" t="n">
        <v>1983</v>
      </c>
      <c r="P11" s="3" t="n">
        <v>10400</v>
      </c>
      <c r="Q11" s="3" t="n">
        <v>15000</v>
      </c>
      <c r="R11" s="3" t="s">
        <v>101</v>
      </c>
      <c r="S11" s="3" t="s">
        <v>102</v>
      </c>
      <c r="T11" s="3" t="s">
        <v>46</v>
      </c>
      <c r="U11" s="3"/>
      <c r="V11" s="3" t="s">
        <v>103</v>
      </c>
      <c r="W11" s="3" t="s">
        <v>104</v>
      </c>
      <c r="X11" s="3" t="s">
        <v>41</v>
      </c>
      <c r="Y11" s="3" t="n">
        <v>46.3</v>
      </c>
      <c r="Z11" s="3" t="s">
        <v>105</v>
      </c>
      <c r="AA11" s="3" t="n">
        <v>13</v>
      </c>
      <c r="AB11" s="3" t="n">
        <v>1.8</v>
      </c>
      <c r="AC11" s="3" t="n">
        <v>4</v>
      </c>
      <c r="AD11" s="3" t="n">
        <v>32</v>
      </c>
      <c r="AE11" s="3" t="n">
        <v>53</v>
      </c>
      <c r="AF11" s="4" t="n">
        <v>-37</v>
      </c>
      <c r="AG11" s="4" t="n">
        <v>2655</v>
      </c>
    </row>
    <row r="12" customFormat="false" ht="15" hidden="fals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1" t="n">
        <v>9</v>
      </c>
      <c r="AG12" s="1" t="n">
        <v>43595</v>
      </c>
    </row>
    <row r="13" s="4" customFormat="true" ht="15" hidden="false" customHeight="false" outlineLevel="0" collapsed="false">
      <c r="A13" s="3" t="s">
        <v>98</v>
      </c>
      <c r="B13" s="3" t="s">
        <v>112</v>
      </c>
      <c r="C13" s="3" t="n">
        <v>3.4</v>
      </c>
      <c r="D13" s="3" t="n">
        <v>46500</v>
      </c>
      <c r="E13" s="3" t="n">
        <v>-6</v>
      </c>
      <c r="F13" s="3" t="n">
        <f aca="false">ROUND((C13-AVERAGE(C2:C211))/AVERAGE(C2:C211) * 100,0)</f>
        <v>-8</v>
      </c>
      <c r="G13" s="3" t="s">
        <v>113</v>
      </c>
      <c r="H13" s="3" t="n">
        <v>3.3</v>
      </c>
      <c r="I13" s="3" t="n">
        <v>2.8</v>
      </c>
      <c r="J13" s="3" t="n">
        <v>3.5</v>
      </c>
      <c r="K13" s="3" t="n">
        <v>3.2</v>
      </c>
      <c r="L13" s="3" t="n">
        <v>3.2</v>
      </c>
      <c r="M13" s="3" t="n">
        <v>3.6</v>
      </c>
      <c r="N13" s="3" t="n">
        <v>2.5</v>
      </c>
      <c r="O13" s="3" t="n">
        <v>1991</v>
      </c>
      <c r="P13" s="3" t="n">
        <v>180000</v>
      </c>
      <c r="Q13" s="3" t="n">
        <v>227181</v>
      </c>
      <c r="R13" s="3" t="s">
        <v>114</v>
      </c>
      <c r="S13" s="3" t="s">
        <v>46</v>
      </c>
      <c r="T13" s="3" t="s">
        <v>115</v>
      </c>
      <c r="U13" s="3"/>
      <c r="V13" s="3" t="s">
        <v>116</v>
      </c>
      <c r="W13" s="3" t="s">
        <v>117</v>
      </c>
      <c r="X13" s="3" t="s">
        <v>41</v>
      </c>
      <c r="Y13" s="3" t="n">
        <v>26.4</v>
      </c>
      <c r="Z13" s="3" t="s">
        <v>118</v>
      </c>
      <c r="AA13" s="3" t="n">
        <v>13</v>
      </c>
      <c r="AB13" s="3" t="n">
        <v>4</v>
      </c>
      <c r="AC13" s="3" t="n">
        <v>2</v>
      </c>
      <c r="AD13" s="3" t="n">
        <v>5</v>
      </c>
      <c r="AE13" s="3" t="n">
        <v>12</v>
      </c>
      <c r="AF13" s="4" t="n">
        <v>-28</v>
      </c>
      <c r="AG13" s="4" t="n">
        <v>15448</v>
      </c>
    </row>
    <row r="14" customFormat="false" ht="15" hidden="fals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1" t="n">
        <v>-42</v>
      </c>
      <c r="AG14" s="1" t="n">
        <v>3404</v>
      </c>
    </row>
    <row r="15" s="4" customFormat="true" ht="15" hidden="false" customHeight="false" outlineLevel="0" collapsed="false">
      <c r="A15" s="3" t="s">
        <v>119</v>
      </c>
      <c r="B15" s="3" t="s">
        <v>126</v>
      </c>
      <c r="C15" s="3" t="n">
        <v>3.3</v>
      </c>
      <c r="D15" s="3" t="n">
        <v>12900</v>
      </c>
      <c r="E15" s="3" t="n">
        <v>-8</v>
      </c>
      <c r="F15" s="3" t="n">
        <f aca="false">ROUND((C15-AVERAGE(C2:C214))/AVERAGE(C2:C214) * 100,0)</f>
        <v>-11</v>
      </c>
      <c r="G15" s="3" t="s">
        <v>127</v>
      </c>
      <c r="H15" s="3" t="n">
        <v>3.2</v>
      </c>
      <c r="I15" s="3" t="n">
        <v>3.3</v>
      </c>
      <c r="J15" s="3" t="n">
        <v>3</v>
      </c>
      <c r="K15" s="3" t="n">
        <v>3</v>
      </c>
      <c r="L15" s="3" t="n">
        <v>3.4</v>
      </c>
      <c r="M15" s="3" t="n">
        <v>3.4</v>
      </c>
      <c r="N15" s="3" t="n">
        <v>2.8</v>
      </c>
      <c r="O15" s="3" t="n">
        <v>1880</v>
      </c>
      <c r="P15" s="3" t="n">
        <v>30000</v>
      </c>
      <c r="Q15" s="3" t="n">
        <v>370000</v>
      </c>
      <c r="R15" s="3" t="s">
        <v>128</v>
      </c>
      <c r="S15" s="3" t="s">
        <v>102</v>
      </c>
      <c r="T15" s="3" t="s">
        <v>129</v>
      </c>
      <c r="U15" s="3"/>
      <c r="V15" s="3" t="s">
        <v>130</v>
      </c>
      <c r="W15" s="3" t="s">
        <v>131</v>
      </c>
      <c r="X15" s="3" t="s">
        <v>41</v>
      </c>
      <c r="Y15" s="3" t="n">
        <v>43.4</v>
      </c>
      <c r="Z15" s="3" t="s">
        <v>132</v>
      </c>
      <c r="AA15" s="3" t="n">
        <v>13</v>
      </c>
      <c r="AB15" s="3" t="n">
        <v>3.9</v>
      </c>
      <c r="AC15" s="3" t="n">
        <v>1</v>
      </c>
      <c r="AD15" s="3" t="n">
        <v>6</v>
      </c>
      <c r="AE15" s="3" t="n">
        <v>9</v>
      </c>
      <c r="AF15" s="4" t="n">
        <v>-23</v>
      </c>
      <c r="AG15" s="4" t="n">
        <v>16441</v>
      </c>
    </row>
    <row r="16" customFormat="false" ht="15" hidden="fals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1" t="n">
        <v>-1</v>
      </c>
      <c r="AG16" s="1" t="n">
        <v>774</v>
      </c>
    </row>
    <row r="17" s="4" customFormat="true" ht="15" hidden="false" customHeight="false" outlineLevel="0" collapsed="false">
      <c r="A17" s="3" t="s">
        <v>119</v>
      </c>
      <c r="B17" s="3" t="s">
        <v>140</v>
      </c>
      <c r="C17" s="3" t="n">
        <v>4.7</v>
      </c>
      <c r="D17" s="3" t="n">
        <v>18</v>
      </c>
      <c r="E17" s="3" t="n">
        <v>0</v>
      </c>
      <c r="F17" s="3" t="n">
        <f aca="false">ROUND((C17-AVERAGE(C2:C216))/AVERAGE(C2:C216) * 100,0)</f>
        <v>27</v>
      </c>
      <c r="G17" s="3" t="s">
        <v>141</v>
      </c>
      <c r="H17" s="3" t="n">
        <v>4.7</v>
      </c>
      <c r="I17" s="3" t="n">
        <v>4.4</v>
      </c>
      <c r="J17" s="3" t="n">
        <v>4.7</v>
      </c>
      <c r="K17" s="3" t="n">
        <v>4.5</v>
      </c>
      <c r="L17" s="3" t="n">
        <v>4.4</v>
      </c>
      <c r="M17" s="3" t="n">
        <v>4.6</v>
      </c>
      <c r="N17" s="3" t="n">
        <v>4.2</v>
      </c>
      <c r="O17" s="3" t="n">
        <v>2016</v>
      </c>
      <c r="P17" s="3" t="n">
        <v>140</v>
      </c>
      <c r="Q17" s="3" t="n">
        <v>140</v>
      </c>
      <c r="R17" s="3" t="s">
        <v>142</v>
      </c>
      <c r="S17" s="3" t="s">
        <v>46</v>
      </c>
      <c r="T17" s="3"/>
      <c r="U17" s="3"/>
      <c r="V17" s="3" t="s">
        <v>143</v>
      </c>
      <c r="W17" s="3" t="s">
        <v>144</v>
      </c>
      <c r="X17" s="3" t="s">
        <v>145</v>
      </c>
      <c r="Y17" s="3" t="n">
        <v>16.8</v>
      </c>
      <c r="Z17" s="3" t="s">
        <v>146</v>
      </c>
      <c r="AA17" s="3" t="n">
        <v>13</v>
      </c>
      <c r="AB17" s="3" t="n">
        <v>2.8</v>
      </c>
      <c r="AC17" s="3" t="n">
        <v>3</v>
      </c>
      <c r="AD17" s="3" t="n">
        <v>3</v>
      </c>
      <c r="AE17" s="3" t="n">
        <v>10</v>
      </c>
      <c r="AF17" s="4" t="s">
        <v>147</v>
      </c>
      <c r="AG17" s="4" t="s">
        <v>147</v>
      </c>
    </row>
    <row r="18" customFormat="false" ht="15" hidden="fals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1" t="n">
        <v>-8</v>
      </c>
      <c r="AG18" s="1" t="n">
        <v>16401</v>
      </c>
    </row>
    <row r="19" s="4" customFormat="true" ht="15" hidden="false" customHeight="false" outlineLevel="0" collapsed="false">
      <c r="A19" s="3" t="s">
        <v>119</v>
      </c>
      <c r="B19" s="3" t="s">
        <v>154</v>
      </c>
      <c r="C19" s="3" t="n">
        <v>4.4</v>
      </c>
      <c r="D19" s="3" t="n">
        <v>1900</v>
      </c>
      <c r="E19" s="3" t="n">
        <v>22</v>
      </c>
      <c r="F19" s="3" t="n">
        <f aca="false">ROUND((C19-AVERAGE(C2:C218))/AVERAGE(C2:C218) * 100,0)</f>
        <v>19</v>
      </c>
      <c r="G19" s="3" t="s">
        <v>155</v>
      </c>
      <c r="H19" s="3" t="n">
        <v>4.4</v>
      </c>
      <c r="I19" s="3" t="n">
        <v>4.3</v>
      </c>
      <c r="J19" s="3" t="n">
        <v>4.4</v>
      </c>
      <c r="K19" s="3" t="n">
        <v>4.3</v>
      </c>
      <c r="L19" s="3" t="n">
        <v>4.3</v>
      </c>
      <c r="M19" s="3" t="n">
        <v>4.2</v>
      </c>
      <c r="N19" s="3" t="n">
        <v>4.1</v>
      </c>
      <c r="O19" s="3" t="n">
        <v>1998</v>
      </c>
      <c r="P19" s="3" t="n">
        <v>50000</v>
      </c>
      <c r="Q19" s="3" t="n">
        <v>190820</v>
      </c>
      <c r="R19" s="3" t="s">
        <v>156</v>
      </c>
      <c r="S19" s="3" t="s">
        <v>157</v>
      </c>
      <c r="T19" s="3"/>
      <c r="U19" s="3"/>
      <c r="V19" s="3" t="s">
        <v>158</v>
      </c>
      <c r="W19" s="3" t="s">
        <v>159</v>
      </c>
      <c r="X19" s="3" t="s">
        <v>41</v>
      </c>
      <c r="Y19" s="3" t="n">
        <v>60.2</v>
      </c>
      <c r="Z19" s="3" t="s">
        <v>160</v>
      </c>
      <c r="AA19" s="3" t="n">
        <v>13</v>
      </c>
      <c r="AB19" s="3" t="n">
        <v>5</v>
      </c>
      <c r="AC19" s="3" t="n">
        <v>5</v>
      </c>
      <c r="AD19" s="3" t="n">
        <v>7</v>
      </c>
      <c r="AE19" s="3" t="n">
        <v>11</v>
      </c>
      <c r="AF19" s="4" t="n">
        <v>9</v>
      </c>
      <c r="AG19" s="4" t="n">
        <v>14151</v>
      </c>
    </row>
    <row r="20" customFormat="false" ht="15" hidden="fals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1" t="n">
        <v>-1</v>
      </c>
      <c r="AG20" s="1" t="n">
        <v>68401</v>
      </c>
    </row>
    <row r="21" s="4" customFormat="true" ht="15" hidden="false" customHeight="false" outlineLevel="0" collapsed="false">
      <c r="A21" s="3" t="s">
        <v>167</v>
      </c>
      <c r="B21" s="3" t="s">
        <v>168</v>
      </c>
      <c r="C21" s="3" t="n">
        <v>3.6</v>
      </c>
      <c r="D21" s="3" t="n">
        <v>19</v>
      </c>
      <c r="E21" s="3" t="n">
        <v>0</v>
      </c>
      <c r="F21" s="3" t="n">
        <f aca="false">ROUND((C21-AVERAGE(C2:C220))/AVERAGE(C2:C220) * 100,0)</f>
        <v>-2</v>
      </c>
      <c r="G21" s="3" t="s">
        <v>169</v>
      </c>
      <c r="H21" s="3" t="n">
        <v>3.9</v>
      </c>
      <c r="I21" s="3" t="n">
        <v>3.8</v>
      </c>
      <c r="J21" s="3" t="n">
        <v>3.8</v>
      </c>
      <c r="K21" s="3" t="n">
        <v>3.4</v>
      </c>
      <c r="L21" s="3" t="n">
        <v>3.1</v>
      </c>
      <c r="M21" s="3" t="n">
        <v>2.7</v>
      </c>
      <c r="N21" s="3" t="n">
        <v>2.6</v>
      </c>
      <c r="O21" s="3" t="n">
        <v>2002</v>
      </c>
      <c r="P21" s="3" t="n">
        <v>150</v>
      </c>
      <c r="Q21" s="3" t="n">
        <v>4800</v>
      </c>
      <c r="R21" s="3" t="s">
        <v>170</v>
      </c>
      <c r="S21" s="3" t="s">
        <v>157</v>
      </c>
      <c r="T21" s="3"/>
      <c r="U21" s="3"/>
      <c r="V21" s="3" t="s">
        <v>171</v>
      </c>
      <c r="W21" s="3" t="s">
        <v>172</v>
      </c>
      <c r="X21" s="3" t="s">
        <v>173</v>
      </c>
      <c r="Y21" s="3" t="n">
        <v>77.4</v>
      </c>
      <c r="Z21" s="3" t="s">
        <v>174</v>
      </c>
      <c r="AA21" s="3" t="n">
        <v>13</v>
      </c>
      <c r="AB21" s="3" t="n">
        <v>2.8</v>
      </c>
      <c r="AC21" s="3" t="n">
        <v>1</v>
      </c>
      <c r="AD21" s="3" t="n">
        <v>1</v>
      </c>
      <c r="AE21" s="3" t="n">
        <v>15</v>
      </c>
      <c r="AF21" s="4" t="n">
        <v>-3</v>
      </c>
      <c r="AG21" s="4" t="n">
        <v>450</v>
      </c>
    </row>
    <row r="22" customFormat="false" ht="15" hidden="fals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1" t="n">
        <v>-32</v>
      </c>
      <c r="AG22" s="1" t="n">
        <v>5304</v>
      </c>
    </row>
    <row r="23" s="4" customFormat="true" ht="15" hidden="false" customHeight="false" outlineLevel="0" collapsed="false">
      <c r="A23" s="3" t="s">
        <v>182</v>
      </c>
      <c r="B23" s="3" t="s">
        <v>183</v>
      </c>
      <c r="C23" s="3" t="n">
        <v>3.3</v>
      </c>
      <c r="D23" s="3" t="n">
        <v>108</v>
      </c>
      <c r="E23" s="3" t="n">
        <v>-11</v>
      </c>
      <c r="F23" s="3" t="n">
        <f aca="false">ROUND((C23-AVERAGE(C2:C222))/AVERAGE(C2:C222) * 100,0)</f>
        <v>-11</v>
      </c>
      <c r="G23" s="3" t="s">
        <v>184</v>
      </c>
      <c r="H23" s="3" t="n">
        <v>3.3</v>
      </c>
      <c r="I23" s="3" t="n">
        <v>3</v>
      </c>
      <c r="J23" s="3" t="n">
        <v>3.7</v>
      </c>
      <c r="K23" s="3" t="n">
        <v>3.1</v>
      </c>
      <c r="L23" s="3" t="n">
        <v>3.2</v>
      </c>
      <c r="M23" s="3" t="n">
        <v>3.3</v>
      </c>
      <c r="N23" s="3" t="n">
        <v>2.6</v>
      </c>
      <c r="O23" s="3" t="n">
        <v>1901</v>
      </c>
      <c r="P23" s="3" t="n">
        <v>4000</v>
      </c>
      <c r="Q23" s="3" t="n">
        <v>67000</v>
      </c>
      <c r="R23" s="3" t="s">
        <v>185</v>
      </c>
      <c r="S23" s="3" t="s">
        <v>186</v>
      </c>
      <c r="T23" s="3"/>
      <c r="U23" s="3"/>
      <c r="V23" s="3" t="s">
        <v>187</v>
      </c>
      <c r="W23" s="3" t="s">
        <v>188</v>
      </c>
      <c r="X23" s="3" t="s">
        <v>41</v>
      </c>
      <c r="Y23" s="3" t="n">
        <v>23.8</v>
      </c>
      <c r="Z23" s="3" t="s">
        <v>189</v>
      </c>
      <c r="AA23" s="3" t="n">
        <v>13</v>
      </c>
      <c r="AB23" s="3" t="n">
        <v>1.8</v>
      </c>
      <c r="AC23" s="3" t="n">
        <v>5</v>
      </c>
      <c r="AD23" s="3" t="n">
        <v>24</v>
      </c>
      <c r="AE23" s="3" t="n">
        <v>65</v>
      </c>
      <c r="AF23" s="4" t="n">
        <v>-41</v>
      </c>
      <c r="AG23" s="4" t="n">
        <v>290</v>
      </c>
    </row>
    <row r="24" customFormat="fals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1" t="n">
        <v>-35</v>
      </c>
      <c r="AG24" s="1" t="n">
        <v>219</v>
      </c>
    </row>
    <row r="25" s="4" customFormat="true" ht="15" hidden="false" customHeight="false" outlineLevel="0" collapsed="false">
      <c r="A25" s="3" t="s">
        <v>182</v>
      </c>
      <c r="B25" s="3" t="s">
        <v>197</v>
      </c>
      <c r="C25" s="3" t="n">
        <v>3.3</v>
      </c>
      <c r="D25" s="3" t="n">
        <v>729</v>
      </c>
      <c r="E25" s="3" t="n">
        <v>-8</v>
      </c>
      <c r="F25" s="3" t="n">
        <f aca="false">ROUND((C25-AVERAGE(C2:C224))/AVERAGE(C2:C224) * 100,0)</f>
        <v>-11</v>
      </c>
      <c r="G25" s="3" t="s">
        <v>198</v>
      </c>
      <c r="H25" s="3" t="n">
        <v>3.4</v>
      </c>
      <c r="I25" s="3" t="n">
        <v>3.2</v>
      </c>
      <c r="J25" s="3" t="n">
        <v>2.9</v>
      </c>
      <c r="K25" s="3" t="n">
        <v>3.1</v>
      </c>
      <c r="L25" s="3" t="n">
        <v>3.6</v>
      </c>
      <c r="M25" s="3" t="n">
        <v>3.4</v>
      </c>
      <c r="N25" s="3" t="n">
        <v>2.8</v>
      </c>
      <c r="O25" s="3" t="n">
        <v>2013</v>
      </c>
      <c r="P25" s="3" t="n">
        <v>5000</v>
      </c>
      <c r="Q25" s="3" t="n">
        <v>5000</v>
      </c>
      <c r="R25" s="3" t="s">
        <v>199</v>
      </c>
      <c r="S25" s="3" t="s">
        <v>46</v>
      </c>
      <c r="T25" s="3"/>
      <c r="U25" s="3"/>
      <c r="V25" s="3" t="s">
        <v>200</v>
      </c>
      <c r="W25" s="3" t="s">
        <v>201</v>
      </c>
      <c r="X25" s="3" t="s">
        <v>41</v>
      </c>
      <c r="Y25" s="3" t="n">
        <v>40.9</v>
      </c>
      <c r="Z25" s="3" t="s">
        <v>202</v>
      </c>
      <c r="AA25" s="3" t="n">
        <v>13</v>
      </c>
      <c r="AB25" s="3" t="n">
        <v>1.8</v>
      </c>
      <c r="AC25" s="3" t="n">
        <v>11</v>
      </c>
      <c r="AD25" s="3" t="n">
        <v>23</v>
      </c>
      <c r="AE25" s="3" t="n">
        <v>73</v>
      </c>
      <c r="AF25" s="4" t="n">
        <v>86</v>
      </c>
      <c r="AG25" s="4" t="n">
        <v>743</v>
      </c>
    </row>
    <row r="26" customFormat="false" ht="15" hidden="fals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1" t="n">
        <v>-13</v>
      </c>
      <c r="AG26" s="1" t="n">
        <v>20880</v>
      </c>
    </row>
    <row r="27" s="4" customFormat="true" ht="15" hidden="false" customHeight="false" outlineLevel="0" collapsed="false">
      <c r="A27" s="3" t="s">
        <v>203</v>
      </c>
      <c r="B27" s="3" t="s">
        <v>210</v>
      </c>
      <c r="C27" s="3" t="n">
        <v>4.6</v>
      </c>
      <c r="D27" s="3" t="n">
        <v>28</v>
      </c>
      <c r="E27" s="3" t="n">
        <v>31</v>
      </c>
      <c r="F27" s="3" t="n">
        <f aca="false">ROUND((C27-AVERAGE(C2:C226))/AVERAGE(C2:C226) * 100,0)</f>
        <v>25</v>
      </c>
      <c r="G27" s="3" t="s">
        <v>211</v>
      </c>
      <c r="H27" s="3" t="n">
        <v>4.6</v>
      </c>
      <c r="I27" s="3" t="n">
        <v>4.3</v>
      </c>
      <c r="J27" s="3" t="n">
        <v>4.6</v>
      </c>
      <c r="K27" s="3" t="n">
        <v>4.5</v>
      </c>
      <c r="L27" s="3" t="n">
        <v>4.3</v>
      </c>
      <c r="M27" s="3" t="n">
        <v>3.9</v>
      </c>
      <c r="N27" s="3" t="n">
        <v>3.8</v>
      </c>
      <c r="O27" s="3" t="n">
        <v>1832</v>
      </c>
      <c r="P27" s="3" t="n">
        <v>1000</v>
      </c>
      <c r="Q27" s="3" t="n">
        <v>4300</v>
      </c>
      <c r="R27" s="3" t="s">
        <v>212</v>
      </c>
      <c r="S27" s="3" t="s">
        <v>213</v>
      </c>
      <c r="T27" s="3"/>
      <c r="U27" s="3"/>
      <c r="V27" s="3" t="s">
        <v>214</v>
      </c>
      <c r="W27" s="3" t="s">
        <v>215</v>
      </c>
      <c r="X27" s="3" t="s">
        <v>216</v>
      </c>
      <c r="Y27" s="3" t="n">
        <v>37.5</v>
      </c>
      <c r="Z27" s="3" t="s">
        <v>217</v>
      </c>
      <c r="AA27" s="3" t="n">
        <v>13</v>
      </c>
      <c r="AB27" s="3" t="n">
        <v>2.4</v>
      </c>
      <c r="AC27" s="3" t="n">
        <v>5</v>
      </c>
      <c r="AD27" s="3" t="n">
        <v>16</v>
      </c>
      <c r="AE27" s="3" t="n">
        <v>52</v>
      </c>
      <c r="AF27" s="4" t="s">
        <v>147</v>
      </c>
      <c r="AG27" s="4" t="s">
        <v>147</v>
      </c>
    </row>
    <row r="28" customFormat="false" ht="15" hidden="fals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5" t="s">
        <v>147</v>
      </c>
      <c r="AG28" s="5" t="s">
        <v>147</v>
      </c>
    </row>
    <row r="29" s="4" customFormat="true" ht="15" hidden="false" customHeight="false" outlineLevel="0" collapsed="false">
      <c r="A29" s="3" t="s">
        <v>203</v>
      </c>
      <c r="B29" s="3" t="s">
        <v>224</v>
      </c>
      <c r="C29" s="3" t="n">
        <v>4.5</v>
      </c>
      <c r="D29" s="3" t="n">
        <v>7</v>
      </c>
      <c r="E29" s="3" t="n">
        <v>29</v>
      </c>
      <c r="F29" s="3" t="n">
        <f aca="false">ROUND((C29-AVERAGE(C2:C228))/AVERAGE(C2:C228) * 100,0)</f>
        <v>22</v>
      </c>
      <c r="G29" s="3" t="s">
        <v>225</v>
      </c>
      <c r="H29" s="3" t="n">
        <v>4.5</v>
      </c>
      <c r="I29" s="3" t="n">
        <v>4.3</v>
      </c>
      <c r="J29" s="3" t="n">
        <v>4.8</v>
      </c>
      <c r="K29" s="3" t="n">
        <v>4.5</v>
      </c>
      <c r="L29" s="3" t="n">
        <v>3.4</v>
      </c>
      <c r="M29" s="3" t="n">
        <v>2.2</v>
      </c>
      <c r="N29" s="3" t="n">
        <v>3.4</v>
      </c>
      <c r="O29" s="3" t="n">
        <v>2008</v>
      </c>
      <c r="P29" s="3" t="n">
        <v>50</v>
      </c>
      <c r="Q29" s="3" t="n">
        <v>200</v>
      </c>
      <c r="R29" s="3" t="s">
        <v>226</v>
      </c>
      <c r="S29" s="3" t="s">
        <v>213</v>
      </c>
      <c r="T29" s="3"/>
      <c r="U29" s="3"/>
      <c r="V29" s="3" t="s">
        <v>227</v>
      </c>
      <c r="W29" s="3" t="s">
        <v>228</v>
      </c>
      <c r="X29" s="3" t="s">
        <v>229</v>
      </c>
      <c r="Y29" s="3" t="n">
        <v>25.8</v>
      </c>
      <c r="Z29" s="3" t="s">
        <v>230</v>
      </c>
      <c r="AA29" s="3" t="n">
        <v>13</v>
      </c>
      <c r="AB29" s="3" t="n">
        <v>2.8</v>
      </c>
      <c r="AC29" s="3" t="n">
        <v>9</v>
      </c>
      <c r="AD29" s="3" t="n">
        <v>17</v>
      </c>
      <c r="AE29" s="3" t="n">
        <v>44</v>
      </c>
      <c r="AF29" s="4" t="n">
        <v>0</v>
      </c>
      <c r="AG29" s="4" t="n">
        <v>272</v>
      </c>
    </row>
    <row r="30" customFormat="false" ht="15" hidden="fals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1" t="n">
        <v>72</v>
      </c>
      <c r="AG30" s="1" t="n">
        <v>188</v>
      </c>
    </row>
    <row r="31" s="4" customFormat="true" ht="15" hidden="false" customHeight="false" outlineLevel="0" collapsed="false">
      <c r="A31" s="3" t="s">
        <v>231</v>
      </c>
      <c r="B31" s="3" t="s">
        <v>237</v>
      </c>
      <c r="C31" s="3" t="n">
        <v>3.6</v>
      </c>
      <c r="D31" s="3" t="n">
        <v>517</v>
      </c>
      <c r="E31" s="3" t="n">
        <v>0</v>
      </c>
      <c r="F31" s="3" t="n">
        <f aca="false">ROUND((C31-AVERAGE(C2:C230))/AVERAGE(C2:C230) * 100,0)</f>
        <v>-2</v>
      </c>
      <c r="G31" s="3" t="s">
        <v>238</v>
      </c>
      <c r="H31" s="3" t="n">
        <v>3.6</v>
      </c>
      <c r="I31" s="3" t="n">
        <v>3.7</v>
      </c>
      <c r="J31" s="3" t="n">
        <v>3.3</v>
      </c>
      <c r="K31" s="3" t="n">
        <v>3.4</v>
      </c>
      <c r="L31" s="3" t="n">
        <v>3.5</v>
      </c>
      <c r="M31" s="3" t="n">
        <v>3.4</v>
      </c>
      <c r="N31" s="3" t="n">
        <v>2.9</v>
      </c>
      <c r="O31" s="3" t="n">
        <v>1963</v>
      </c>
      <c r="P31" s="3" t="n">
        <v>5000</v>
      </c>
      <c r="Q31" s="3" t="n">
        <v>50000</v>
      </c>
      <c r="R31" s="3" t="s">
        <v>239</v>
      </c>
      <c r="S31" s="3" t="s">
        <v>102</v>
      </c>
      <c r="T31" s="3"/>
      <c r="U31" s="3"/>
      <c r="V31" s="3" t="s">
        <v>240</v>
      </c>
      <c r="W31" s="3" t="s">
        <v>241</v>
      </c>
      <c r="X31" s="3" t="s">
        <v>41</v>
      </c>
      <c r="Y31" s="3" t="n">
        <v>73.7</v>
      </c>
      <c r="Z31" s="3" t="s">
        <v>242</v>
      </c>
      <c r="AA31" s="3" t="n">
        <v>13</v>
      </c>
      <c r="AB31" s="3" t="n">
        <v>3.5</v>
      </c>
      <c r="AC31" s="3" t="n">
        <v>4</v>
      </c>
      <c r="AD31" s="3" t="n">
        <v>4</v>
      </c>
      <c r="AE31" s="3" t="n">
        <v>7</v>
      </c>
      <c r="AF31" s="4" t="n">
        <v>24</v>
      </c>
      <c r="AG31" s="4" t="n">
        <v>5128</v>
      </c>
    </row>
    <row r="32" customFormat="false" ht="15" hidden="fals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1" t="n">
        <v>-5</v>
      </c>
      <c r="AG32" s="1" t="n">
        <v>2643</v>
      </c>
    </row>
    <row r="33" s="4" customFormat="true" ht="15" hidden="false" customHeight="false" outlineLevel="0" collapsed="false">
      <c r="A33" s="3" t="s">
        <v>231</v>
      </c>
      <c r="B33" s="3" t="s">
        <v>249</v>
      </c>
      <c r="C33" s="3" t="n">
        <v>3.6</v>
      </c>
      <c r="D33" s="3" t="n">
        <v>399</v>
      </c>
      <c r="E33" s="3" t="n">
        <v>0</v>
      </c>
      <c r="F33" s="3" t="n">
        <f aca="false">ROUND((C33-AVERAGE(C2:C232))/AVERAGE(C2:C232) * 100,0)</f>
        <v>-2</v>
      </c>
      <c r="G33" s="3" t="s">
        <v>250</v>
      </c>
      <c r="H33" s="3" t="n">
        <v>3.3</v>
      </c>
      <c r="I33" s="3" t="n">
        <v>3.6</v>
      </c>
      <c r="J33" s="3" t="n">
        <v>3.5</v>
      </c>
      <c r="K33" s="3" t="n">
        <v>3.2</v>
      </c>
      <c r="L33" s="3" t="n">
        <v>3.3</v>
      </c>
      <c r="M33" s="3" t="n">
        <v>3.3</v>
      </c>
      <c r="N33" s="3" t="n">
        <v>3.1</v>
      </c>
      <c r="O33" s="3" t="n">
        <v>1999</v>
      </c>
      <c r="P33" s="3" t="n">
        <v>5000</v>
      </c>
      <c r="Q33" s="3" t="n">
        <v>5000</v>
      </c>
      <c r="R33" s="3" t="s">
        <v>251</v>
      </c>
      <c r="S33" s="3" t="s">
        <v>252</v>
      </c>
      <c r="T33" s="3"/>
      <c r="U33" s="3"/>
      <c r="V33" s="3" t="s">
        <v>253</v>
      </c>
      <c r="W33" s="3" t="s">
        <v>254</v>
      </c>
      <c r="X33" s="3" t="s">
        <v>255</v>
      </c>
      <c r="Y33" s="3" t="n">
        <v>10.3</v>
      </c>
      <c r="Z33" s="3" t="s">
        <v>256</v>
      </c>
      <c r="AA33" s="3" t="n">
        <v>13</v>
      </c>
      <c r="AB33" s="3" t="n">
        <v>3.3</v>
      </c>
      <c r="AC33" s="3" t="n">
        <v>7</v>
      </c>
      <c r="AD33" s="3" t="n">
        <v>9</v>
      </c>
      <c r="AE33" s="3" t="n">
        <v>13</v>
      </c>
      <c r="AF33" s="4" t="n">
        <v>102</v>
      </c>
      <c r="AG33" s="4" t="n">
        <v>389</v>
      </c>
    </row>
    <row r="34" customFormat="false" ht="15" hidden="fals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1" t="n">
        <v>-18</v>
      </c>
      <c r="AG34" s="1" t="n">
        <v>5429</v>
      </c>
    </row>
    <row r="35" s="4" customFormat="true" ht="15" hidden="false" customHeight="false" outlineLevel="0" collapsed="false">
      <c r="A35" s="3" t="s">
        <v>263</v>
      </c>
      <c r="B35" s="3" t="s">
        <v>264</v>
      </c>
      <c r="C35" s="3" t="n">
        <v>4</v>
      </c>
      <c r="D35" s="3" t="n">
        <v>8100</v>
      </c>
      <c r="E35" s="3" t="n">
        <v>11</v>
      </c>
      <c r="F35" s="3" t="n">
        <f aca="false">ROUND((C35-AVERAGE(C2:C234))/AVERAGE(C2:C234) * 100,0)</f>
        <v>8</v>
      </c>
      <c r="G35" s="3" t="s">
        <v>265</v>
      </c>
      <c r="H35" s="3" t="n">
        <v>4</v>
      </c>
      <c r="I35" s="3" t="n">
        <v>3.5</v>
      </c>
      <c r="J35" s="3" t="n">
        <v>4.1</v>
      </c>
      <c r="K35" s="3" t="n">
        <v>3.8</v>
      </c>
      <c r="L35" s="3" t="n">
        <v>3.7</v>
      </c>
      <c r="M35" s="3" t="n">
        <v>4.2</v>
      </c>
      <c r="N35" s="3" t="n">
        <v>3.1</v>
      </c>
      <c r="O35" s="3" t="n">
        <v>2002</v>
      </c>
      <c r="P35" s="3" t="n">
        <v>50000</v>
      </c>
      <c r="Q35" s="3" t="n">
        <v>100000</v>
      </c>
      <c r="R35" s="3" t="s">
        <v>266</v>
      </c>
      <c r="S35" s="3" t="s">
        <v>46</v>
      </c>
      <c r="T35" s="3"/>
      <c r="U35" s="3"/>
      <c r="V35" s="3" t="s">
        <v>267</v>
      </c>
      <c r="W35" s="3" t="s">
        <v>268</v>
      </c>
      <c r="X35" s="3" t="s">
        <v>41</v>
      </c>
      <c r="Y35" s="3" t="n">
        <v>45.2</v>
      </c>
      <c r="Z35" s="3" t="s">
        <v>269</v>
      </c>
      <c r="AA35" s="3" t="n">
        <v>13</v>
      </c>
      <c r="AB35" s="3" t="n">
        <v>3.6</v>
      </c>
      <c r="AC35" s="3" t="n">
        <v>1</v>
      </c>
      <c r="AD35" s="3" t="n">
        <v>4</v>
      </c>
      <c r="AE35" s="3" t="n">
        <v>11</v>
      </c>
      <c r="AF35" s="4" t="n">
        <v>-2</v>
      </c>
      <c r="AG35" s="4" t="n">
        <v>6048</v>
      </c>
    </row>
    <row r="36" customFormat="false" ht="15" hidden="fals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1" t="n">
        <v>103</v>
      </c>
      <c r="AG36" s="1" t="n">
        <v>279</v>
      </c>
    </row>
    <row r="37" s="4" customFormat="true" ht="15" hidden="false" customHeight="false" outlineLevel="0" collapsed="false">
      <c r="A37" s="3" t="s">
        <v>270</v>
      </c>
      <c r="B37" s="3" t="s">
        <v>34</v>
      </c>
      <c r="C37" s="3" t="n">
        <v>2.7</v>
      </c>
      <c r="D37" s="3" t="n">
        <v>802</v>
      </c>
      <c r="E37" s="3" t="n">
        <v>-25</v>
      </c>
      <c r="F37" s="3" t="n">
        <f aca="false">ROUND((C37-AVERAGE(C2:C235))/AVERAGE(C2:C235) * 100,0)</f>
        <v>-27</v>
      </c>
      <c r="G37" s="3" t="s">
        <v>35</v>
      </c>
      <c r="H37" s="3" t="n">
        <v>2.6</v>
      </c>
      <c r="I37" s="3" t="n">
        <v>2.9</v>
      </c>
      <c r="J37" s="3" t="n">
        <v>2.6</v>
      </c>
      <c r="K37" s="3" t="n">
        <v>2.5</v>
      </c>
      <c r="L37" s="3" t="n">
        <v>2.7</v>
      </c>
      <c r="M37" s="3" t="n">
        <v>2.9</v>
      </c>
      <c r="N37" s="3" t="n">
        <v>2.6</v>
      </c>
      <c r="O37" s="3" t="n">
        <v>2010</v>
      </c>
      <c r="P37" s="3" t="n">
        <v>3600</v>
      </c>
      <c r="Q37" s="3" t="n">
        <v>3600</v>
      </c>
      <c r="R37" s="3" t="s">
        <v>36</v>
      </c>
      <c r="S37" s="3" t="s">
        <v>37</v>
      </c>
      <c r="T37" s="3"/>
      <c r="U37" s="3" t="s">
        <v>38</v>
      </c>
      <c r="V37" s="3" t="s">
        <v>39</v>
      </c>
      <c r="W37" s="3" t="s">
        <v>40</v>
      </c>
      <c r="X37" s="3" t="s">
        <v>41</v>
      </c>
      <c r="Y37" s="3" t="n">
        <v>24.5</v>
      </c>
      <c r="Z37" s="3" t="s">
        <v>42</v>
      </c>
      <c r="AA37" s="3" t="n">
        <v>13</v>
      </c>
      <c r="AB37" s="3" t="n">
        <v>3.9</v>
      </c>
      <c r="AC37" s="3" t="n">
        <v>0</v>
      </c>
      <c r="AD37" s="3" t="n">
        <v>1</v>
      </c>
      <c r="AE37" s="3" t="n">
        <v>0</v>
      </c>
      <c r="AF37" s="4" t="n">
        <v>-65</v>
      </c>
      <c r="AG37" s="4" t="n">
        <v>275</v>
      </c>
    </row>
    <row r="38" customFormat="false" ht="16.4" hidden="fals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1" t="n">
        <v>-30</v>
      </c>
      <c r="AG38" s="1" t="n">
        <v>18644</v>
      </c>
    </row>
    <row r="39" s="4" customFormat="true" ht="15" hidden="false" customHeight="false" outlineLevel="0" collapsed="false">
      <c r="A39" s="3" t="s">
        <v>270</v>
      </c>
      <c r="B39" s="3" t="s">
        <v>271</v>
      </c>
      <c r="C39" s="3" t="n">
        <v>3.5</v>
      </c>
      <c r="D39" s="3" t="n">
        <v>1500</v>
      </c>
      <c r="E39" s="3" t="n">
        <v>-3</v>
      </c>
      <c r="F39" s="3" t="n">
        <f aca="false">ROUND((C39-AVERAGE(C2:C237))/AVERAGE(C2:C237) * 100,0)</f>
        <v>-5</v>
      </c>
      <c r="G39" s="3" t="s">
        <v>272</v>
      </c>
      <c r="H39" s="3" t="n">
        <v>3.5</v>
      </c>
      <c r="I39" s="3" t="n">
        <v>3.7</v>
      </c>
      <c r="J39" s="3" t="n">
        <v>3.6</v>
      </c>
      <c r="K39" s="3" t="n">
        <v>3.3</v>
      </c>
      <c r="L39" s="3" t="n">
        <v>3.5</v>
      </c>
      <c r="M39" s="3" t="n">
        <v>3</v>
      </c>
      <c r="N39" s="3" t="n">
        <v>3</v>
      </c>
      <c r="O39" s="3" t="n">
        <v>2012</v>
      </c>
      <c r="P39" s="3" t="n">
        <v>5000</v>
      </c>
      <c r="Q39" s="3" t="n">
        <v>10000</v>
      </c>
      <c r="R39" s="3" t="s">
        <v>273</v>
      </c>
      <c r="S39" s="3" t="s">
        <v>46</v>
      </c>
      <c r="T39" s="3"/>
      <c r="U39" s="3" t="s">
        <v>274</v>
      </c>
      <c r="V39" s="3" t="s">
        <v>275</v>
      </c>
      <c r="W39" s="3" t="s">
        <v>276</v>
      </c>
      <c r="X39" s="3" t="s">
        <v>41</v>
      </c>
      <c r="Y39" s="3" t="n">
        <v>22.4</v>
      </c>
      <c r="Z39" s="3" t="s">
        <v>277</v>
      </c>
      <c r="AA39" s="3" t="n">
        <v>13</v>
      </c>
      <c r="AB39" s="3" t="n">
        <v>2.8</v>
      </c>
      <c r="AC39" s="3" t="n">
        <v>3</v>
      </c>
      <c r="AD39" s="3" t="n">
        <v>6</v>
      </c>
      <c r="AE39" s="3" t="n">
        <v>20</v>
      </c>
      <c r="AF39" s="4" t="n">
        <v>45</v>
      </c>
      <c r="AG39" s="4" t="n">
        <v>713</v>
      </c>
    </row>
    <row r="40" customFormat="false" ht="15" hidden="fals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1" t="n">
        <v>293</v>
      </c>
      <c r="AG40" s="1" t="n">
        <v>148</v>
      </c>
    </row>
    <row r="41" s="4" customFormat="true" ht="16.4" hidden="false" customHeight="false" outlineLevel="0" collapsed="false">
      <c r="A41" s="3" t="s">
        <v>270</v>
      </c>
      <c r="B41" s="3" t="s">
        <v>50</v>
      </c>
      <c r="C41" s="3" t="n">
        <v>3.7</v>
      </c>
      <c r="D41" s="3" t="n">
        <v>74800</v>
      </c>
      <c r="E41" s="3" t="n">
        <v>3</v>
      </c>
      <c r="F41" s="3" t="n">
        <f aca="false">ROUND((C41-AVERAGE(C2:C239))/AVERAGE(C2:C239) * 100,0)</f>
        <v>0</v>
      </c>
      <c r="G41" s="3" t="s">
        <v>51</v>
      </c>
      <c r="H41" s="3" t="n">
        <v>3.7</v>
      </c>
      <c r="I41" s="3" t="n">
        <v>3.2</v>
      </c>
      <c r="J41" s="3" t="n">
        <v>3.6</v>
      </c>
      <c r="K41" s="3" t="n">
        <v>3.4</v>
      </c>
      <c r="L41" s="3" t="n">
        <v>3.6</v>
      </c>
      <c r="M41" s="3" t="n">
        <v>3.6</v>
      </c>
      <c r="N41" s="3" t="n">
        <v>2.8</v>
      </c>
      <c r="O41" s="3" t="n">
        <v>1989</v>
      </c>
      <c r="P41" s="3" t="n">
        <v>300000</v>
      </c>
      <c r="Q41" s="3" t="n">
        <v>799000</v>
      </c>
      <c r="R41" s="3" t="s">
        <v>52</v>
      </c>
      <c r="S41" s="3" t="s">
        <v>46</v>
      </c>
      <c r="T41" s="3" t="s">
        <v>53</v>
      </c>
      <c r="U41" s="3"/>
      <c r="V41" s="3" t="s">
        <v>54</v>
      </c>
      <c r="W41" s="3" t="s">
        <v>55</v>
      </c>
      <c r="X41" s="3" t="s">
        <v>56</v>
      </c>
      <c r="Y41" s="3" t="n">
        <v>26.9</v>
      </c>
      <c r="Z41" s="3" t="s">
        <v>57</v>
      </c>
      <c r="AA41" s="3" t="n">
        <v>13</v>
      </c>
      <c r="AB41" s="3" t="n">
        <v>4</v>
      </c>
      <c r="AC41" s="3" t="n">
        <v>3</v>
      </c>
      <c r="AD41" s="3" t="n">
        <v>6</v>
      </c>
      <c r="AE41" s="3" t="n">
        <v>12</v>
      </c>
      <c r="AF41" s="4" t="n">
        <v>-23</v>
      </c>
      <c r="AG41" s="4" t="n">
        <v>55714</v>
      </c>
    </row>
    <row r="42" customFormat="false" ht="16.4" hidden="fals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1" t="n">
        <v>-42</v>
      </c>
      <c r="AG42" s="1" t="n">
        <v>24573</v>
      </c>
    </row>
    <row r="43" s="4" customFormat="true" ht="15" hidden="false" customHeight="false" outlineLevel="0" collapsed="false">
      <c r="A43" s="3" t="s">
        <v>270</v>
      </c>
      <c r="B43" s="3" t="s">
        <v>94</v>
      </c>
      <c r="C43" s="3" t="n">
        <v>3.9</v>
      </c>
      <c r="D43" s="3" t="n">
        <v>26100</v>
      </c>
      <c r="E43" s="3" t="n">
        <v>8</v>
      </c>
      <c r="F43" s="3" t="n">
        <f aca="false">ROUND((C43-AVERAGE(C2:C241))/AVERAGE(C2:C241) * 100,0)</f>
        <v>6</v>
      </c>
      <c r="G43" s="3" t="s">
        <v>95</v>
      </c>
      <c r="H43" s="3" t="n">
        <v>3.9</v>
      </c>
      <c r="I43" s="3" t="n">
        <v>3.5</v>
      </c>
      <c r="J43" s="3" t="n">
        <v>4</v>
      </c>
      <c r="K43" s="3" t="n">
        <v>3.6</v>
      </c>
      <c r="L43" s="3" t="n">
        <v>3.9</v>
      </c>
      <c r="M43" s="3" t="n">
        <v>3.9</v>
      </c>
      <c r="N43" s="3" t="n">
        <v>3</v>
      </c>
      <c r="O43" s="3" t="n">
        <v>1911</v>
      </c>
      <c r="P43" s="3" t="n">
        <v>135000</v>
      </c>
      <c r="Q43" s="3" t="n">
        <v>268000</v>
      </c>
      <c r="R43" s="3" t="s">
        <v>90</v>
      </c>
      <c r="S43" s="3" t="s">
        <v>46</v>
      </c>
      <c r="T43" s="3" t="s">
        <v>75</v>
      </c>
      <c r="U43" s="3"/>
      <c r="V43" s="3" t="s">
        <v>91</v>
      </c>
      <c r="W43" s="3" t="s">
        <v>96</v>
      </c>
      <c r="X43" s="3" t="s">
        <v>41</v>
      </c>
      <c r="Y43" s="3" t="n">
        <v>35.2</v>
      </c>
      <c r="Z43" s="3" t="s">
        <v>97</v>
      </c>
      <c r="AA43" s="3" t="n">
        <v>13</v>
      </c>
      <c r="AB43" s="3" t="n">
        <v>5.7</v>
      </c>
      <c r="AC43" s="3" t="n">
        <v>8</v>
      </c>
      <c r="AD43" s="3" t="n">
        <v>9</v>
      </c>
      <c r="AE43" s="3" t="n">
        <v>10</v>
      </c>
      <c r="AF43" s="4" t="n">
        <v>65</v>
      </c>
      <c r="AG43" s="4" t="n">
        <v>37274</v>
      </c>
    </row>
    <row r="44" customFormat="false" ht="15" hidden="fals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1" t="n">
        <v>65</v>
      </c>
      <c r="AG44" s="1" t="n">
        <v>37274</v>
      </c>
    </row>
    <row r="45" s="4" customFormat="true" ht="16.4" hidden="false" customHeight="false" outlineLevel="0" collapsed="false">
      <c r="A45" s="3" t="s">
        <v>284</v>
      </c>
      <c r="B45" s="3" t="s">
        <v>65</v>
      </c>
      <c r="C45" s="3" t="n">
        <v>3.9</v>
      </c>
      <c r="D45" s="3" t="n">
        <v>4800</v>
      </c>
      <c r="E45" s="3" t="n">
        <v>8</v>
      </c>
      <c r="F45" s="3" t="n">
        <f aca="false">ROUND((C45-AVERAGE(C41:C243))/AVERAGE(C41:C243) * 100,0)</f>
        <v>6</v>
      </c>
      <c r="G45" s="3" t="s">
        <v>66</v>
      </c>
      <c r="H45" s="3" t="n">
        <v>3.9</v>
      </c>
      <c r="I45" s="3" t="n">
        <v>3.7</v>
      </c>
      <c r="J45" s="3" t="n">
        <v>3.6</v>
      </c>
      <c r="K45" s="3" t="n">
        <v>3.6</v>
      </c>
      <c r="L45" s="3" t="n">
        <v>3.7</v>
      </c>
      <c r="M45" s="3" t="n">
        <v>3.6</v>
      </c>
      <c r="N45" s="3" t="n">
        <v>3.3</v>
      </c>
      <c r="O45" s="3" t="n">
        <v>1996</v>
      </c>
      <c r="P45" s="3" t="n">
        <v>13000</v>
      </c>
      <c r="Q45" s="3" t="n">
        <v>18500</v>
      </c>
      <c r="R45" s="3" t="s">
        <v>67</v>
      </c>
      <c r="S45" s="3" t="s">
        <v>46</v>
      </c>
      <c r="T45" s="3" t="s">
        <v>68</v>
      </c>
      <c r="U45" s="3"/>
      <c r="V45" s="3" t="s">
        <v>69</v>
      </c>
      <c r="W45" s="3" t="s">
        <v>70</v>
      </c>
      <c r="X45" s="3" t="s">
        <v>41</v>
      </c>
      <c r="Y45" s="3" t="n">
        <v>39.6</v>
      </c>
      <c r="Z45" s="3" t="s">
        <v>71</v>
      </c>
      <c r="AA45" s="3" t="n">
        <v>13</v>
      </c>
      <c r="AB45" s="3" t="n">
        <v>3.8</v>
      </c>
      <c r="AC45" s="3" t="n">
        <v>3</v>
      </c>
      <c r="AD45" s="3" t="n">
        <v>6</v>
      </c>
      <c r="AE45" s="3" t="n">
        <v>10</v>
      </c>
      <c r="AF45" s="4" t="n">
        <v>-44</v>
      </c>
      <c r="AG45" s="4" t="n">
        <v>1502</v>
      </c>
    </row>
    <row r="46" customFormat="false" ht="15" hidden="fals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1" t="n">
        <v>-3</v>
      </c>
      <c r="AG46" s="1" t="n">
        <v>15847</v>
      </c>
    </row>
    <row r="47" s="4" customFormat="true" ht="15" hidden="false" customHeight="false" outlineLevel="0" collapsed="false">
      <c r="A47" s="3" t="s">
        <v>284</v>
      </c>
      <c r="B47" s="3" t="s">
        <v>99</v>
      </c>
      <c r="C47" s="3" t="n">
        <v>3</v>
      </c>
      <c r="D47" s="3" t="n">
        <v>2800</v>
      </c>
      <c r="E47" s="3" t="n">
        <v>-17</v>
      </c>
      <c r="F47" s="3" t="n">
        <f aca="false">ROUND((C47-AVERAGE(C2:C245))/AVERAGE(C2:C245) * 100,0)</f>
        <v>-19</v>
      </c>
      <c r="G47" s="3" t="s">
        <v>100</v>
      </c>
      <c r="H47" s="3" t="n">
        <v>3.1</v>
      </c>
      <c r="I47" s="3" t="n">
        <v>3.6</v>
      </c>
      <c r="J47" s="3" t="n">
        <v>2</v>
      </c>
      <c r="K47" s="3" t="n">
        <v>2.7</v>
      </c>
      <c r="L47" s="3" t="n">
        <v>3.1</v>
      </c>
      <c r="M47" s="3" t="n">
        <v>3.2</v>
      </c>
      <c r="N47" s="3" t="n">
        <v>3</v>
      </c>
      <c r="O47" s="3" t="n">
        <v>1983</v>
      </c>
      <c r="P47" s="3" t="n">
        <v>10400</v>
      </c>
      <c r="Q47" s="3" t="n">
        <v>15000</v>
      </c>
      <c r="R47" s="3" t="s">
        <v>101</v>
      </c>
      <c r="S47" s="3" t="s">
        <v>102</v>
      </c>
      <c r="T47" s="3" t="s">
        <v>46</v>
      </c>
      <c r="U47" s="3"/>
      <c r="V47" s="3" t="s">
        <v>103</v>
      </c>
      <c r="W47" s="3" t="s">
        <v>104</v>
      </c>
      <c r="X47" s="3" t="s">
        <v>41</v>
      </c>
      <c r="Y47" s="3" t="n">
        <v>46.3</v>
      </c>
      <c r="Z47" s="3" t="s">
        <v>105</v>
      </c>
      <c r="AA47" s="3" t="n">
        <v>13</v>
      </c>
      <c r="AB47" s="3" t="n">
        <v>1.8</v>
      </c>
      <c r="AC47" s="3" t="n">
        <v>4</v>
      </c>
      <c r="AD47" s="3" t="n">
        <v>32</v>
      </c>
      <c r="AE47" s="3" t="n">
        <v>53</v>
      </c>
      <c r="AF47" s="4" t="n">
        <v>-37</v>
      </c>
      <c r="AG47" s="4" t="n">
        <v>2655</v>
      </c>
    </row>
    <row r="48" customFormat="false" ht="15" hidden="fals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5" t="s">
        <v>147</v>
      </c>
      <c r="AG48" s="5" t="s">
        <v>147</v>
      </c>
    </row>
    <row r="49" s="4" customFormat="true" ht="15" hidden="false" customHeight="false" outlineLevel="0" collapsed="false">
      <c r="A49" s="3" t="s">
        <v>284</v>
      </c>
      <c r="B49" s="3" t="s">
        <v>293</v>
      </c>
      <c r="C49" s="3" t="n">
        <v>2.8</v>
      </c>
      <c r="D49" s="3" t="n">
        <v>119</v>
      </c>
      <c r="E49" s="3" t="n">
        <v>-22</v>
      </c>
      <c r="F49" s="3" t="n">
        <f aca="false">ROUND((C49-AVERAGE(C2:C247))/AVERAGE(C2:C247) * 100,0)</f>
        <v>-24</v>
      </c>
      <c r="G49" s="3" t="s">
        <v>294</v>
      </c>
      <c r="H49" s="3" t="n">
        <v>2.8</v>
      </c>
      <c r="I49" s="3" t="n">
        <v>2.6</v>
      </c>
      <c r="J49" s="3" t="n">
        <v>2.7</v>
      </c>
      <c r="K49" s="3" t="n">
        <v>2.7</v>
      </c>
      <c r="L49" s="3" t="n">
        <v>2.7</v>
      </c>
      <c r="M49" s="3" t="n">
        <v>2.7</v>
      </c>
      <c r="N49" s="3" t="n">
        <v>2.6</v>
      </c>
      <c r="O49" s="3" t="n">
        <v>2011</v>
      </c>
      <c r="P49" s="3" t="n">
        <v>150</v>
      </c>
      <c r="Q49" s="3" t="n">
        <v>150</v>
      </c>
      <c r="R49" s="3" t="s">
        <v>295</v>
      </c>
      <c r="S49" s="3" t="s">
        <v>46</v>
      </c>
      <c r="T49" s="3"/>
      <c r="U49" s="3" t="s">
        <v>296</v>
      </c>
      <c r="V49" s="3" t="s">
        <v>297</v>
      </c>
      <c r="W49" s="3" t="s">
        <v>298</v>
      </c>
      <c r="X49" s="3" t="s">
        <v>216</v>
      </c>
      <c r="Y49" s="3" t="n">
        <v>12.2</v>
      </c>
      <c r="Z49" s="3" t="s">
        <v>299</v>
      </c>
      <c r="AA49" s="3" t="n">
        <v>13</v>
      </c>
      <c r="AB49" s="3" t="n">
        <v>5.2</v>
      </c>
      <c r="AC49" s="3" t="n">
        <v>-3</v>
      </c>
      <c r="AD49" s="3" t="n">
        <v>-3</v>
      </c>
      <c r="AE49" s="3" t="n">
        <v>-1</v>
      </c>
      <c r="AF49" s="4" t="s">
        <v>147</v>
      </c>
      <c r="AG49" s="4" t="s">
        <v>147</v>
      </c>
    </row>
    <row r="50" customFormat="false" ht="15" hidden="fals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1" t="n">
        <v>-70</v>
      </c>
      <c r="AG50" s="1" t="n">
        <v>46</v>
      </c>
    </row>
    <row r="51" s="4" customFormat="true" ht="15" hidden="false" customHeight="false" outlineLevel="0" collapsed="false">
      <c r="A51" s="3" t="s">
        <v>284</v>
      </c>
      <c r="B51" s="3" t="s">
        <v>308</v>
      </c>
      <c r="C51" s="3" t="n">
        <v>3.2</v>
      </c>
      <c r="D51" s="3" t="n">
        <v>386</v>
      </c>
      <c r="E51" s="3" t="n">
        <v>-11</v>
      </c>
      <c r="F51" s="3" t="n">
        <f aca="false">ROUND((C51-AVERAGE(C2:C249))/AVERAGE(C2:C249) * 100,0)</f>
        <v>-13</v>
      </c>
      <c r="G51" s="3" t="s">
        <v>309</v>
      </c>
      <c r="H51" s="3" t="n">
        <v>3</v>
      </c>
      <c r="I51" s="3" t="n">
        <v>3.2</v>
      </c>
      <c r="J51" s="3" t="n">
        <v>3.1</v>
      </c>
      <c r="K51" s="3" t="n">
        <v>2.9</v>
      </c>
      <c r="L51" s="3" t="n">
        <v>2.8</v>
      </c>
      <c r="M51" s="3" t="n">
        <v>3</v>
      </c>
      <c r="N51" s="3" t="n">
        <v>2.6</v>
      </c>
      <c r="O51" s="3" t="n">
        <v>2000</v>
      </c>
      <c r="P51" s="3" t="n">
        <v>1000</v>
      </c>
      <c r="Q51" s="3" t="n">
        <v>2200</v>
      </c>
      <c r="R51" s="3" t="s">
        <v>310</v>
      </c>
      <c r="S51" s="3" t="s">
        <v>157</v>
      </c>
      <c r="T51" s="3" t="s">
        <v>311</v>
      </c>
      <c r="U51" s="3" t="s">
        <v>312</v>
      </c>
      <c r="V51" s="3" t="s">
        <v>313</v>
      </c>
      <c r="W51" s="3" t="s">
        <v>314</v>
      </c>
      <c r="X51" s="3" t="s">
        <v>315</v>
      </c>
      <c r="Y51" s="3" t="n">
        <v>22.8</v>
      </c>
      <c r="Z51" s="3" t="s">
        <v>316</v>
      </c>
      <c r="AA51" s="3" t="n">
        <v>13</v>
      </c>
      <c r="AB51" s="3" t="n">
        <v>4.8</v>
      </c>
      <c r="AC51" s="3" t="n">
        <v>0</v>
      </c>
      <c r="AD51" s="3" t="n">
        <v>0</v>
      </c>
      <c r="AE51" s="3" t="n">
        <v>-2</v>
      </c>
      <c r="AF51" s="4" t="n">
        <v>-50</v>
      </c>
      <c r="AG51" s="4" t="n">
        <v>61</v>
      </c>
    </row>
    <row r="52" customFormat="false" ht="15" hidden="fals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1" t="n">
        <v>-52</v>
      </c>
      <c r="AG52" s="1" t="n">
        <v>717</v>
      </c>
    </row>
    <row r="53" s="4" customFormat="true" ht="15" hidden="false" customHeight="false" outlineLevel="0" collapsed="false">
      <c r="A53" s="3" t="s">
        <v>317</v>
      </c>
      <c r="B53" s="3" t="s">
        <v>278</v>
      </c>
      <c r="C53" s="3" t="n">
        <v>4.3</v>
      </c>
      <c r="D53" s="3" t="n">
        <v>19</v>
      </c>
      <c r="E53" s="3" t="s">
        <v>147</v>
      </c>
      <c r="F53" s="3" t="n">
        <f aca="false">ROUND((C53-AVERAGE(C2:C251))/AVERAGE(C2:C251) * 100,0)</f>
        <v>17</v>
      </c>
      <c r="G53" s="3" t="s">
        <v>326</v>
      </c>
      <c r="H53" s="3" t="n">
        <v>4.5</v>
      </c>
      <c r="I53" s="3" t="n">
        <v>3.8</v>
      </c>
      <c r="J53" s="3" t="n">
        <v>4.2</v>
      </c>
      <c r="K53" s="3" t="s">
        <v>147</v>
      </c>
      <c r="L53" s="3" t="s">
        <v>147</v>
      </c>
      <c r="M53" s="3" t="s">
        <v>147</v>
      </c>
      <c r="N53" s="3" t="s">
        <v>147</v>
      </c>
      <c r="O53" s="3" t="n">
        <v>2017</v>
      </c>
      <c r="P53" s="3" t="s">
        <v>147</v>
      </c>
      <c r="Q53" s="3" t="n">
        <v>50</v>
      </c>
      <c r="R53" s="3" t="s">
        <v>280</v>
      </c>
      <c r="S53" s="3" t="s">
        <v>213</v>
      </c>
      <c r="T53" s="3"/>
      <c r="U53" s="3" t="s">
        <v>281</v>
      </c>
      <c r="V53" s="3" t="s">
        <v>282</v>
      </c>
      <c r="W53" s="3" t="s">
        <v>283</v>
      </c>
      <c r="X53" s="3" t="s">
        <v>147</v>
      </c>
      <c r="Y53" s="3" t="s">
        <v>147</v>
      </c>
      <c r="Z53" s="3"/>
      <c r="AA53" s="3" t="n">
        <v>13</v>
      </c>
      <c r="AB53" s="3" t="n">
        <v>1.8</v>
      </c>
      <c r="AC53" s="3" t="n">
        <v>21</v>
      </c>
      <c r="AD53" s="3" t="n">
        <v>36</v>
      </c>
      <c r="AE53" s="3" t="n">
        <v>81</v>
      </c>
      <c r="AF53" s="4" t="n">
        <v>293</v>
      </c>
      <c r="AG53" s="4" t="n">
        <v>148</v>
      </c>
    </row>
    <row r="54" customFormat="false" ht="15" hidden="fals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1" t="n">
        <v>-17</v>
      </c>
      <c r="AG54" s="1" t="n">
        <v>4901</v>
      </c>
    </row>
    <row r="55" s="4" customFormat="true" ht="15" hidden="false" customHeight="false" outlineLevel="0" collapsed="false">
      <c r="A55" s="3" t="s">
        <v>336</v>
      </c>
      <c r="B55" s="3" t="s">
        <v>337</v>
      </c>
      <c r="C55" s="3" t="n">
        <v>3.7</v>
      </c>
      <c r="D55" s="3" t="n">
        <v>352</v>
      </c>
      <c r="E55" s="3" t="n">
        <v>3</v>
      </c>
      <c r="F55" s="3" t="n">
        <f aca="false">ROUND((C55-AVERAGE(C2:C253))/AVERAGE(C2:C253) * 100,0)</f>
        <v>0</v>
      </c>
      <c r="G55" s="3" t="s">
        <v>338</v>
      </c>
      <c r="H55" s="3" t="n">
        <v>3.8</v>
      </c>
      <c r="I55" s="3" t="n">
        <v>3.8</v>
      </c>
      <c r="J55" s="3" t="n">
        <v>3.4</v>
      </c>
      <c r="K55" s="3" t="n">
        <v>3.4</v>
      </c>
      <c r="L55" s="3" t="n">
        <v>3.5</v>
      </c>
      <c r="M55" s="3" t="n">
        <v>3.6</v>
      </c>
      <c r="N55" s="3" t="n">
        <v>3.3</v>
      </c>
      <c r="O55" s="3" t="n">
        <v>1973</v>
      </c>
      <c r="P55" s="3" t="n">
        <v>3500</v>
      </c>
      <c r="Q55" s="3" t="n">
        <v>23000</v>
      </c>
      <c r="R55" s="3" t="s">
        <v>339</v>
      </c>
      <c r="S55" s="3" t="s">
        <v>102</v>
      </c>
      <c r="T55" s="3" t="s">
        <v>61</v>
      </c>
      <c r="U55" s="3" t="s">
        <v>340</v>
      </c>
      <c r="V55" s="3" t="s">
        <v>341</v>
      </c>
      <c r="W55" s="3" t="s">
        <v>342</v>
      </c>
      <c r="X55" s="3" t="s">
        <v>343</v>
      </c>
      <c r="Y55" s="3" t="n">
        <v>37.8</v>
      </c>
      <c r="Z55" s="3" t="s">
        <v>344</v>
      </c>
      <c r="AA55" s="3" t="n">
        <v>13</v>
      </c>
      <c r="AB55" s="3" t="n">
        <v>3.3</v>
      </c>
      <c r="AC55" s="3" t="n">
        <v>6</v>
      </c>
      <c r="AD55" s="3" t="n">
        <v>8</v>
      </c>
      <c r="AE55" s="3" t="n">
        <v>12</v>
      </c>
      <c r="AF55" s="4" t="n">
        <v>46</v>
      </c>
      <c r="AG55" s="4" t="n">
        <v>3740</v>
      </c>
    </row>
    <row r="56" customFormat="false" ht="15" hidden="fals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1" t="n">
        <v>-26</v>
      </c>
      <c r="AG56" s="1" t="n">
        <v>42990</v>
      </c>
    </row>
    <row r="57" s="4" customFormat="true" ht="15" hidden="false" customHeight="false" outlineLevel="0" collapsed="false">
      <c r="A57" s="3" t="s">
        <v>352</v>
      </c>
      <c r="B57" s="3" t="s">
        <v>353</v>
      </c>
      <c r="C57" s="3" t="n">
        <v>3.2</v>
      </c>
      <c r="D57" s="3" t="n">
        <v>4100</v>
      </c>
      <c r="E57" s="3" t="n">
        <v>-11</v>
      </c>
      <c r="F57" s="3" t="n">
        <f aca="false">ROUND((C57-AVERAGE(C2:C255))/AVERAGE(C2:C255) * 100,0)</f>
        <v>-13</v>
      </c>
      <c r="G57" s="3" t="s">
        <v>354</v>
      </c>
      <c r="H57" s="3" t="n">
        <v>3.2</v>
      </c>
      <c r="I57" s="3" t="n">
        <v>3.4</v>
      </c>
      <c r="J57" s="3" t="n">
        <v>3.2</v>
      </c>
      <c r="K57" s="3" t="n">
        <v>3</v>
      </c>
      <c r="L57" s="3" t="n">
        <v>3.4</v>
      </c>
      <c r="M57" s="3" t="n">
        <v>2.8</v>
      </c>
      <c r="N57" s="3" t="n">
        <v>2.4</v>
      </c>
      <c r="O57" s="3" t="n">
        <v>1990</v>
      </c>
      <c r="P57" s="3" t="n">
        <v>10000</v>
      </c>
      <c r="Q57" s="3" t="n">
        <v>24370</v>
      </c>
      <c r="R57" s="3" t="s">
        <v>355</v>
      </c>
      <c r="S57" s="3" t="s">
        <v>46</v>
      </c>
      <c r="T57" s="3" t="s">
        <v>356</v>
      </c>
      <c r="U57" s="3" t="s">
        <v>340</v>
      </c>
      <c r="V57" s="3" t="s">
        <v>357</v>
      </c>
      <c r="W57" s="3" t="s">
        <v>358</v>
      </c>
      <c r="X57" s="3" t="s">
        <v>41</v>
      </c>
      <c r="Y57" s="3" t="n">
        <v>38.8</v>
      </c>
      <c r="Z57" s="3" t="s">
        <v>359</v>
      </c>
      <c r="AA57" s="3" t="n">
        <v>13</v>
      </c>
      <c r="AB57" s="3" t="n">
        <v>4</v>
      </c>
      <c r="AC57" s="3" t="n">
        <v>-3</v>
      </c>
      <c r="AD57" s="3" t="n">
        <v>-1</v>
      </c>
      <c r="AE57" s="3" t="n">
        <v>3</v>
      </c>
      <c r="AF57" s="4" t="n">
        <v>-30</v>
      </c>
      <c r="AG57" s="4" t="n">
        <v>827</v>
      </c>
    </row>
    <row r="58" customFormat="false" ht="15" hidden="fals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1" t="n">
        <v>-3</v>
      </c>
      <c r="AG58" s="1" t="n">
        <v>2423</v>
      </c>
    </row>
    <row r="59" s="4" customFormat="true" ht="15" hidden="false" customHeight="false" outlineLevel="0" collapsed="false">
      <c r="A59" s="3" t="s">
        <v>352</v>
      </c>
      <c r="B59" s="3" t="s">
        <v>367</v>
      </c>
      <c r="C59" s="3" t="n">
        <v>4.3</v>
      </c>
      <c r="D59" s="3" t="n">
        <v>48</v>
      </c>
      <c r="E59" s="3" t="n">
        <v>19</v>
      </c>
      <c r="F59" s="3" t="n">
        <f aca="false">ROUND((C59-AVERAGE(C2:C257))/AVERAGE(C2:C257) * 100,0)</f>
        <v>17</v>
      </c>
      <c r="G59" s="3" t="s">
        <v>368</v>
      </c>
      <c r="H59" s="3" t="n">
        <v>4.3</v>
      </c>
      <c r="I59" s="3" t="n">
        <v>4.1</v>
      </c>
      <c r="J59" s="3" t="n">
        <v>4.4</v>
      </c>
      <c r="K59" s="3" t="n">
        <v>4.2</v>
      </c>
      <c r="L59" s="3" t="n">
        <v>3.9</v>
      </c>
      <c r="M59" s="3" t="n">
        <v>4</v>
      </c>
      <c r="N59" s="3" t="n">
        <v>3.6</v>
      </c>
      <c r="O59" s="3" t="n">
        <v>2018</v>
      </c>
      <c r="P59" s="3" t="n">
        <v>50</v>
      </c>
      <c r="Q59" s="3" t="n">
        <v>144</v>
      </c>
      <c r="R59" s="3" t="s">
        <v>369</v>
      </c>
      <c r="S59" s="3" t="s">
        <v>370</v>
      </c>
      <c r="T59" s="3" t="s">
        <v>68</v>
      </c>
      <c r="U59" s="3" t="s">
        <v>371</v>
      </c>
      <c r="V59" s="3" t="s">
        <v>372</v>
      </c>
      <c r="W59" s="3" t="s">
        <v>373</v>
      </c>
      <c r="X59" s="3" t="s">
        <v>374</v>
      </c>
      <c r="Y59" s="3" t="n">
        <v>21</v>
      </c>
      <c r="Z59" s="3" t="s">
        <v>375</v>
      </c>
      <c r="AA59" s="3" t="n">
        <v>13</v>
      </c>
      <c r="AB59" s="3" t="n">
        <v>3.5</v>
      </c>
      <c r="AC59" s="3" t="n">
        <v>0</v>
      </c>
      <c r="AD59" s="3" t="n">
        <v>1</v>
      </c>
      <c r="AE59" s="3" t="n">
        <v>13</v>
      </c>
      <c r="AF59" s="4" t="s">
        <v>147</v>
      </c>
      <c r="AG59" s="4" t="s">
        <v>147</v>
      </c>
    </row>
    <row r="60" customFormat="false" ht="15" hidden="fals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5" t="s">
        <v>147</v>
      </c>
      <c r="AG60" s="5" t="s">
        <v>147</v>
      </c>
    </row>
    <row r="61" s="4" customFormat="true" ht="15" hidden="false" customHeight="false" outlineLevel="0" collapsed="false">
      <c r="A61" s="3" t="s">
        <v>383</v>
      </c>
      <c r="B61" s="3" t="s">
        <v>384</v>
      </c>
      <c r="C61" s="3" t="s">
        <v>147</v>
      </c>
      <c r="D61" s="3" t="n">
        <v>0</v>
      </c>
      <c r="E61" s="3" t="s">
        <v>147</v>
      </c>
      <c r="F61" s="3" t="s">
        <v>147</v>
      </c>
      <c r="G61" s="3" t="s">
        <v>385</v>
      </c>
      <c r="H61" s="3" t="s">
        <v>147</v>
      </c>
      <c r="I61" s="3" t="s">
        <v>147</v>
      </c>
      <c r="J61" s="3" t="s">
        <v>147</v>
      </c>
      <c r="K61" s="3" t="s">
        <v>147</v>
      </c>
      <c r="L61" s="3" t="s">
        <v>147</v>
      </c>
      <c r="M61" s="3" t="s">
        <v>147</v>
      </c>
      <c r="N61" s="3" t="s">
        <v>147</v>
      </c>
      <c r="O61" s="3" t="n">
        <v>2016</v>
      </c>
      <c r="P61" s="3" t="n">
        <v>50</v>
      </c>
      <c r="Q61" s="3" t="n">
        <v>50</v>
      </c>
      <c r="R61" s="3" t="s">
        <v>386</v>
      </c>
      <c r="S61" s="3" t="s">
        <v>213</v>
      </c>
      <c r="T61" s="3" t="s">
        <v>387</v>
      </c>
      <c r="U61" s="3" t="s">
        <v>388</v>
      </c>
      <c r="V61" s="3" t="s">
        <v>389</v>
      </c>
      <c r="W61" s="3" t="s">
        <v>390</v>
      </c>
      <c r="X61" s="3" t="s">
        <v>147</v>
      </c>
      <c r="Y61" s="3" t="s">
        <v>147</v>
      </c>
      <c r="Z61" s="3" t="s">
        <v>147</v>
      </c>
      <c r="AA61" s="3" t="n">
        <v>13</v>
      </c>
      <c r="AB61" s="3" t="n">
        <v>0.9</v>
      </c>
      <c r="AC61" s="3" t="n">
        <v>0</v>
      </c>
      <c r="AD61" s="3" t="n">
        <v>100</v>
      </c>
      <c r="AE61" s="3" t="s">
        <v>147</v>
      </c>
      <c r="AF61" s="4" t="s">
        <v>147</v>
      </c>
      <c r="AG61" s="4" t="s">
        <v>147</v>
      </c>
    </row>
    <row r="62" customFormat="false" ht="15" hidden="fals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5" t="s">
        <v>147</v>
      </c>
      <c r="AG62" s="5" t="s">
        <v>147</v>
      </c>
    </row>
    <row r="63" s="4" customFormat="true" ht="15" hidden="false" customHeight="false" outlineLevel="0" collapsed="false">
      <c r="A63" s="3" t="s">
        <v>383</v>
      </c>
      <c r="B63" s="3" t="s">
        <v>393</v>
      </c>
      <c r="C63" s="3" t="n">
        <v>3.3</v>
      </c>
      <c r="D63" s="3" t="n">
        <v>21</v>
      </c>
      <c r="E63" s="3" t="n">
        <v>-8</v>
      </c>
      <c r="F63" s="3" t="n">
        <f aca="false">ROUND((C63-AVERAGE(C2:C261))/AVERAGE(C2:C261) * 100,0)</f>
        <v>-11</v>
      </c>
      <c r="G63" s="3" t="s">
        <v>394</v>
      </c>
      <c r="H63" s="3" t="n">
        <v>3.2</v>
      </c>
      <c r="I63" s="3" t="n">
        <v>3.2</v>
      </c>
      <c r="J63" s="3" t="n">
        <v>3.5</v>
      </c>
      <c r="K63" s="3" t="n">
        <v>3.2</v>
      </c>
      <c r="L63" s="3" t="n">
        <v>3.2</v>
      </c>
      <c r="M63" s="3" t="n">
        <v>3.4</v>
      </c>
      <c r="N63" s="3" t="n">
        <v>3.2</v>
      </c>
      <c r="O63" s="3" t="n">
        <v>2012</v>
      </c>
      <c r="P63" s="3" t="n">
        <v>50</v>
      </c>
      <c r="Q63" s="3" t="n">
        <v>200</v>
      </c>
      <c r="R63" s="3" t="s">
        <v>395</v>
      </c>
      <c r="S63" s="3" t="s">
        <v>252</v>
      </c>
      <c r="T63" s="3"/>
      <c r="U63" s="3" t="s">
        <v>396</v>
      </c>
      <c r="V63" s="3" t="s">
        <v>397</v>
      </c>
      <c r="W63" s="3" t="s">
        <v>398</v>
      </c>
      <c r="X63" s="3" t="s">
        <v>147</v>
      </c>
      <c r="Y63" s="3" t="s">
        <v>147</v>
      </c>
      <c r="Z63" s="3" t="s">
        <v>147</v>
      </c>
      <c r="AA63" s="3" t="n">
        <v>13</v>
      </c>
      <c r="AB63" s="3" t="n">
        <v>1.8</v>
      </c>
      <c r="AC63" s="3" t="n">
        <v>12</v>
      </c>
      <c r="AD63" s="3" t="n">
        <v>27</v>
      </c>
      <c r="AE63" s="3" t="n">
        <v>105</v>
      </c>
      <c r="AF63" s="4" t="s">
        <v>147</v>
      </c>
      <c r="AG63" s="4" t="s">
        <v>147</v>
      </c>
    </row>
    <row r="64" s="5" customFormat="true" ht="15" hidden="false" customHeight="false" outlineLevel="0" collapsed="false">
      <c r="A64" s="5" t="s">
        <v>399</v>
      </c>
      <c r="B64" s="5" t="s">
        <v>400</v>
      </c>
      <c r="C64" s="5" t="n">
        <v>4</v>
      </c>
      <c r="D64" s="5" t="n">
        <v>1100</v>
      </c>
      <c r="E64" s="5" t="n">
        <v>11</v>
      </c>
      <c r="F64" s="5" t="n">
        <f aca="false">ROUND((C64-AVERAGE(C2:C262))/AVERAGE(C2:C262) * 100,0)</f>
        <v>8</v>
      </c>
      <c r="G64" s="5" t="s">
        <v>401</v>
      </c>
      <c r="H64" s="5" t="n">
        <v>4.1</v>
      </c>
      <c r="I64" s="5" t="n">
        <v>3.5</v>
      </c>
      <c r="J64" s="5" t="n">
        <v>4</v>
      </c>
      <c r="K64" s="5" t="n">
        <v>3.7</v>
      </c>
      <c r="L64" s="5" t="n">
        <v>4</v>
      </c>
      <c r="M64" s="5" t="n">
        <v>4.1</v>
      </c>
      <c r="N64" s="5" t="n">
        <v>3.2</v>
      </c>
      <c r="O64" s="5" t="n">
        <v>2000</v>
      </c>
      <c r="P64" s="5" t="n">
        <v>7000</v>
      </c>
      <c r="Q64" s="5" t="n">
        <v>8121</v>
      </c>
      <c r="R64" s="5" t="s">
        <v>402</v>
      </c>
      <c r="S64" s="5" t="s">
        <v>53</v>
      </c>
      <c r="T64" s="5" t="s">
        <v>68</v>
      </c>
      <c r="U64" s="5" t="s">
        <v>388</v>
      </c>
      <c r="V64" s="5" t="s">
        <v>403</v>
      </c>
      <c r="W64" s="5" t="s">
        <v>404</v>
      </c>
      <c r="X64" s="5" t="s">
        <v>41</v>
      </c>
      <c r="Y64" s="5" t="n">
        <v>50.7</v>
      </c>
      <c r="Z64" s="5" t="s">
        <v>405</v>
      </c>
      <c r="AA64" s="5" t="n">
        <v>13</v>
      </c>
      <c r="AB64" s="5" t="n">
        <v>2.5</v>
      </c>
      <c r="AC64" s="5" t="n">
        <v>2</v>
      </c>
      <c r="AD64" s="5" t="n">
        <v>11</v>
      </c>
      <c r="AE64" s="5" t="n">
        <v>29</v>
      </c>
      <c r="AF64" s="5" t="n">
        <v>44</v>
      </c>
      <c r="AG64" s="5" t="n">
        <v>526</v>
      </c>
    </row>
    <row r="65" s="4" customFormat="true" ht="15" hidden="false" customHeight="false" outlineLevel="0" collapsed="false">
      <c r="A65" s="3" t="s">
        <v>399</v>
      </c>
      <c r="B65" s="3" t="s">
        <v>406</v>
      </c>
      <c r="C65" s="3" t="n">
        <v>3.4</v>
      </c>
      <c r="D65" s="3" t="n">
        <v>3800</v>
      </c>
      <c r="E65" s="3" t="n">
        <v>-6</v>
      </c>
      <c r="F65" s="3" t="n">
        <f aca="false">ROUND((C65-AVERAGE(C2:C263))/AVERAGE(C2:C263) * 100,0)</f>
        <v>-8</v>
      </c>
      <c r="G65" s="3" t="s">
        <v>407</v>
      </c>
      <c r="H65" s="3" t="n">
        <v>3.3</v>
      </c>
      <c r="I65" s="3" t="n">
        <v>3.1</v>
      </c>
      <c r="J65" s="3" t="n">
        <v>3.6</v>
      </c>
      <c r="K65" s="3" t="n">
        <v>3.2</v>
      </c>
      <c r="L65" s="3" t="n">
        <v>3.2</v>
      </c>
      <c r="M65" s="3" t="n">
        <v>3.3</v>
      </c>
      <c r="N65" s="3" t="n">
        <v>2.6</v>
      </c>
      <c r="O65" s="3" t="n">
        <v>1995</v>
      </c>
      <c r="P65" s="3" t="n">
        <v>11500</v>
      </c>
      <c r="Q65" s="3" t="n">
        <v>15409</v>
      </c>
      <c r="R65" s="3" t="s">
        <v>408</v>
      </c>
      <c r="S65" s="3" t="s">
        <v>46</v>
      </c>
      <c r="T65" s="3"/>
      <c r="U65" s="3" t="s">
        <v>363</v>
      </c>
      <c r="V65" s="3" t="s">
        <v>409</v>
      </c>
      <c r="W65" s="3" t="s">
        <v>410</v>
      </c>
      <c r="X65" s="3" t="s">
        <v>41</v>
      </c>
      <c r="Y65" s="3" t="n">
        <v>39.8</v>
      </c>
      <c r="Z65" s="3" t="s">
        <v>411</v>
      </c>
      <c r="AA65" s="3" t="n">
        <v>13</v>
      </c>
      <c r="AB65" s="3" t="n">
        <v>4.3</v>
      </c>
      <c r="AC65" s="3" t="n">
        <v>0</v>
      </c>
      <c r="AD65" s="3" t="n">
        <v>0</v>
      </c>
      <c r="AE65" s="3" t="n">
        <v>0</v>
      </c>
      <c r="AF65" s="4" t="s">
        <v>147</v>
      </c>
      <c r="AG65" s="4" t="s">
        <v>147</v>
      </c>
    </row>
    <row r="66" customFormat="false" ht="15" hidden="fals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1" t="n">
        <v>-24</v>
      </c>
      <c r="AG66" s="1" t="n">
        <v>2863</v>
      </c>
    </row>
    <row r="67" s="4" customFormat="true" ht="15" hidden="false" customHeight="false" outlineLevel="0" collapsed="false">
      <c r="A67" s="3" t="s">
        <v>399</v>
      </c>
      <c r="B67" s="3" t="s">
        <v>420</v>
      </c>
      <c r="C67" s="3" t="n">
        <v>3.6</v>
      </c>
      <c r="D67" s="3" t="n">
        <v>5700</v>
      </c>
      <c r="E67" s="3" t="n">
        <v>-3</v>
      </c>
      <c r="F67" s="3" t="n">
        <f aca="false">ROUND((C67-AVERAGE(C2:C265))/AVERAGE(C2:C265) * 100,0)</f>
        <v>-2</v>
      </c>
      <c r="G67" s="3" t="s">
        <v>421</v>
      </c>
      <c r="H67" s="3" t="n">
        <v>3.4</v>
      </c>
      <c r="I67" s="3" t="n">
        <v>3.9</v>
      </c>
      <c r="J67" s="3" t="n">
        <v>3.5</v>
      </c>
      <c r="K67" s="3" t="n">
        <v>3.3</v>
      </c>
      <c r="L67" s="3" t="n">
        <v>3.3</v>
      </c>
      <c r="M67" s="3" t="n">
        <v>3.4</v>
      </c>
      <c r="N67" s="3" t="n">
        <v>3</v>
      </c>
      <c r="O67" s="3" t="n">
        <v>1997</v>
      </c>
      <c r="P67" s="3" t="n">
        <v>45000</v>
      </c>
      <c r="Q67" s="3" t="n">
        <v>231944</v>
      </c>
      <c r="R67" s="3" t="s">
        <v>422</v>
      </c>
      <c r="S67" s="3" t="s">
        <v>75</v>
      </c>
      <c r="T67" s="3" t="s">
        <v>423</v>
      </c>
      <c r="U67" s="3" t="s">
        <v>388</v>
      </c>
      <c r="V67" s="3" t="s">
        <v>424</v>
      </c>
      <c r="W67" s="3" t="s">
        <v>425</v>
      </c>
      <c r="X67" s="3" t="s">
        <v>41</v>
      </c>
      <c r="Y67" s="3" t="n">
        <v>39.5</v>
      </c>
      <c r="Z67" s="3" t="s">
        <v>426</v>
      </c>
      <c r="AA67" s="3" t="n">
        <v>13</v>
      </c>
      <c r="AB67" s="3" t="n">
        <v>5.6</v>
      </c>
      <c r="AC67" s="3" t="n">
        <v>2</v>
      </c>
      <c r="AD67" s="3" t="n">
        <v>3</v>
      </c>
      <c r="AE67" s="3" t="n">
        <v>5</v>
      </c>
      <c r="AF67" s="4" t="n">
        <v>43</v>
      </c>
      <c r="AG67" s="4" t="n">
        <v>11070</v>
      </c>
    </row>
    <row r="68" customFormat="false" ht="15" hidden="fals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1" t="n">
        <v>-21</v>
      </c>
      <c r="AG68" s="1" t="n">
        <v>146</v>
      </c>
    </row>
    <row r="69" s="4" customFormat="true" ht="15" hidden="false" customHeight="false" outlineLevel="0" collapsed="false">
      <c r="A69" s="3" t="s">
        <v>427</v>
      </c>
      <c r="B69" s="3" t="s">
        <v>436</v>
      </c>
      <c r="C69" s="3" t="n">
        <v>3.8</v>
      </c>
      <c r="D69" s="4" t="n">
        <v>2200</v>
      </c>
      <c r="E69" s="3" t="n">
        <v>6</v>
      </c>
      <c r="F69" s="3" t="n">
        <f aca="false">ROUND((C69-AVERAGE(C2:C267))/AVERAGE(C2:C267) * 100,0)</f>
        <v>3</v>
      </c>
      <c r="G69" s="3" t="s">
        <v>437</v>
      </c>
      <c r="H69" s="3" t="n">
        <v>3.8</v>
      </c>
      <c r="I69" s="3" t="n">
        <v>3.7</v>
      </c>
      <c r="J69" s="3" t="n">
        <v>3.9</v>
      </c>
      <c r="K69" s="3" t="n">
        <v>3.6</v>
      </c>
      <c r="L69" s="3" t="n">
        <v>3.7</v>
      </c>
      <c r="M69" s="3" t="n">
        <v>3.1</v>
      </c>
      <c r="N69" s="3" t="n">
        <v>3.1</v>
      </c>
      <c r="O69" s="3" t="n">
        <v>1975</v>
      </c>
      <c r="P69" s="4" t="n">
        <v>23000</v>
      </c>
      <c r="Q69" s="4" t="n">
        <v>228000</v>
      </c>
      <c r="R69" s="3" t="s">
        <v>438</v>
      </c>
      <c r="S69" s="4" t="s">
        <v>157</v>
      </c>
      <c r="T69" s="3" t="s">
        <v>46</v>
      </c>
      <c r="U69" s="3" t="s">
        <v>439</v>
      </c>
      <c r="V69" s="3" t="s">
        <v>440</v>
      </c>
      <c r="W69" s="3" t="s">
        <v>441</v>
      </c>
      <c r="X69" s="3" t="s">
        <v>41</v>
      </c>
      <c r="Y69" s="3" t="n">
        <v>59.7</v>
      </c>
      <c r="Z69" s="3" t="s">
        <v>442</v>
      </c>
      <c r="AA69" s="3" t="n">
        <v>13</v>
      </c>
      <c r="AB69" s="4" t="n">
        <v>5.3</v>
      </c>
      <c r="AC69" s="3" t="n">
        <v>-1</v>
      </c>
      <c r="AD69" s="3" t="n">
        <v>-4</v>
      </c>
      <c r="AE69" s="3" t="n">
        <v>-7</v>
      </c>
      <c r="AF69" s="4" t="n">
        <v>-31</v>
      </c>
      <c r="AG69" s="4" t="n">
        <v>20006</v>
      </c>
    </row>
    <row r="70" customFormat="false" ht="15" hidden="fals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1" t="n">
        <v>-14</v>
      </c>
      <c r="AG70" s="1" t="n">
        <v>148</v>
      </c>
    </row>
    <row r="71" s="4" customFormat="true" ht="18.9" hidden="false" customHeight="true" outlineLevel="0" collapsed="false">
      <c r="A71" s="3" t="s">
        <v>451</v>
      </c>
      <c r="B71" s="3" t="s">
        <v>452</v>
      </c>
      <c r="C71" s="3" t="n">
        <v>3.3</v>
      </c>
      <c r="D71" s="4" t="n">
        <v>282</v>
      </c>
      <c r="E71" s="3" t="n">
        <v>-8</v>
      </c>
      <c r="F71" s="4" t="n">
        <f aca="false">ROUND((C71-AVERAGE(C2:C269))/AVERAGE(C2:C269) * 100,0)</f>
        <v>-11</v>
      </c>
      <c r="G71" s="3" t="s">
        <v>453</v>
      </c>
      <c r="H71" s="3" t="n">
        <v>3.3</v>
      </c>
      <c r="I71" s="3" t="n">
        <v>3.3</v>
      </c>
      <c r="J71" s="3" t="n">
        <v>3.6</v>
      </c>
      <c r="K71" s="3" t="n">
        <v>2.9</v>
      </c>
      <c r="L71" s="3" t="n">
        <v>3</v>
      </c>
      <c r="M71" s="3" t="n">
        <v>3</v>
      </c>
      <c r="N71" s="3" t="n">
        <v>3</v>
      </c>
      <c r="O71" s="3" t="n">
        <v>1956</v>
      </c>
      <c r="P71" s="4" t="n">
        <v>1500</v>
      </c>
      <c r="Q71" s="4" t="n">
        <v>3800</v>
      </c>
      <c r="R71" s="3" t="s">
        <v>454</v>
      </c>
      <c r="S71" s="4" t="s">
        <v>157</v>
      </c>
      <c r="T71" s="3" t="s">
        <v>46</v>
      </c>
      <c r="U71" s="3" t="s">
        <v>455</v>
      </c>
      <c r="V71" s="3" t="s">
        <v>456</v>
      </c>
      <c r="W71" s="3" t="s">
        <v>457</v>
      </c>
      <c r="X71" s="3" t="s">
        <v>41</v>
      </c>
      <c r="Y71" s="3" t="n">
        <v>45.6</v>
      </c>
      <c r="Z71" s="3" t="s">
        <v>458</v>
      </c>
      <c r="AA71" s="3" t="n">
        <v>13</v>
      </c>
      <c r="AB71" s="4" t="n">
        <v>7</v>
      </c>
      <c r="AC71" s="3" t="n">
        <v>0</v>
      </c>
      <c r="AD71" s="3" t="n">
        <v>-4</v>
      </c>
      <c r="AE71" s="3" t="n">
        <v>1</v>
      </c>
      <c r="AF71" s="4" t="n">
        <v>-19</v>
      </c>
      <c r="AG71" s="4" t="n">
        <v>148</v>
      </c>
    </row>
    <row r="72" customFormat="false" ht="15" hidden="false" customHeight="false" outlineLevel="0" collapsed="false">
      <c r="A72" s="1" t="s">
        <v>451</v>
      </c>
      <c r="B72" s="1" t="s">
        <v>459</v>
      </c>
      <c r="C72" s="1" t="n">
        <v>3.8</v>
      </c>
      <c r="D72" s="1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1" t="n">
        <v>2000</v>
      </c>
      <c r="Q72" s="1" t="n">
        <v>3200</v>
      </c>
      <c r="R72" s="1" t="s">
        <v>461</v>
      </c>
      <c r="S72" s="5" t="s">
        <v>157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1" t="n">
        <v>4.3</v>
      </c>
      <c r="AC72" s="1" t="n">
        <v>-2</v>
      </c>
      <c r="AD72" s="1" t="n">
        <v>-5</v>
      </c>
      <c r="AE72" s="1" t="n">
        <v>-11</v>
      </c>
      <c r="AF72" s="1" t="n">
        <v>-38</v>
      </c>
      <c r="AG72" s="1" t="n">
        <v>159</v>
      </c>
    </row>
    <row r="73" s="4" customFormat="true" ht="15" hidden="false" customHeight="false" outlineLevel="0" collapsed="false">
      <c r="A73" s="3" t="s">
        <v>451</v>
      </c>
      <c r="B73" s="3" t="s">
        <v>467</v>
      </c>
      <c r="C73" s="3" t="n">
        <v>3.9</v>
      </c>
      <c r="D73" s="4" t="n">
        <v>314</v>
      </c>
      <c r="E73" s="3" t="n">
        <v>8</v>
      </c>
      <c r="F73" s="4" t="n">
        <f aca="false">ROUND((C73-AVERAGE(C2:C271))/AVERAGE(C2:C271) * 100,0)</f>
        <v>6</v>
      </c>
      <c r="G73" s="3" t="s">
        <v>468</v>
      </c>
      <c r="H73" s="3" t="n">
        <v>4</v>
      </c>
      <c r="I73" s="3" t="n">
        <v>4</v>
      </c>
      <c r="J73" s="3" t="n">
        <v>4.2</v>
      </c>
      <c r="K73" s="3" t="n">
        <v>3.7</v>
      </c>
      <c r="L73" s="3" t="n">
        <v>3.6</v>
      </c>
      <c r="M73" s="3" t="n">
        <v>2.9</v>
      </c>
      <c r="N73" s="3" t="n">
        <v>3.3</v>
      </c>
      <c r="O73" s="3" t="n">
        <v>1960</v>
      </c>
      <c r="P73" s="4" t="n">
        <v>1700</v>
      </c>
      <c r="Q73" s="4" t="n">
        <v>6300</v>
      </c>
      <c r="R73" s="3" t="s">
        <v>469</v>
      </c>
      <c r="S73" s="4" t="s">
        <v>157</v>
      </c>
      <c r="T73" s="3" t="s">
        <v>46</v>
      </c>
      <c r="U73" s="3" t="s">
        <v>470</v>
      </c>
      <c r="V73" s="3" t="s">
        <v>471</v>
      </c>
      <c r="W73" s="3" t="s">
        <v>472</v>
      </c>
      <c r="X73" s="3" t="s">
        <v>41</v>
      </c>
      <c r="Y73" s="3" t="n">
        <v>48.7</v>
      </c>
      <c r="Z73" s="3" t="s">
        <v>473</v>
      </c>
      <c r="AA73" s="3" t="n">
        <v>13</v>
      </c>
      <c r="AB73" s="4" t="n">
        <v>9.6</v>
      </c>
      <c r="AC73" s="3" t="n">
        <v>-4</v>
      </c>
      <c r="AD73" s="3" t="n">
        <v>-7</v>
      </c>
      <c r="AE73" s="3" t="n">
        <v>-9</v>
      </c>
      <c r="AF73" s="4" t="n">
        <v>1</v>
      </c>
      <c r="AG73" s="4" t="n">
        <v>360</v>
      </c>
    </row>
    <row r="74" customFormat="false" ht="15" hidden="false" customHeight="false" outlineLevel="0" collapsed="false">
      <c r="A74" s="1" t="s">
        <v>474</v>
      </c>
      <c r="B74" s="1" t="s">
        <v>475</v>
      </c>
      <c r="C74" s="1" t="n">
        <v>3.6</v>
      </c>
      <c r="D74" s="1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1" t="n">
        <v>43000</v>
      </c>
      <c r="Q74" s="1" t="n">
        <v>120000</v>
      </c>
      <c r="R74" s="1" t="s">
        <v>477</v>
      </c>
      <c r="S74" s="5" t="s">
        <v>46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1" t="n">
        <v>4.8</v>
      </c>
      <c r="AC74" s="1" t="n">
        <v>0</v>
      </c>
      <c r="AD74" s="1" t="n">
        <v>1</v>
      </c>
      <c r="AE74" s="1" t="n">
        <v>1</v>
      </c>
      <c r="AF74" s="1" t="n">
        <v>-32</v>
      </c>
      <c r="AG74" s="1" t="n">
        <v>4050</v>
      </c>
    </row>
    <row r="75" s="4" customFormat="true" ht="15" hidden="false" customHeight="false" outlineLevel="0" collapsed="false">
      <c r="A75" s="3" t="s">
        <v>474</v>
      </c>
      <c r="B75" s="3" t="s">
        <v>482</v>
      </c>
      <c r="C75" s="3" t="n">
        <v>3.6</v>
      </c>
      <c r="D75" s="4" t="n">
        <v>856</v>
      </c>
      <c r="E75" s="3" t="n">
        <v>0</v>
      </c>
      <c r="F75" s="3" t="n">
        <f aca="false">ROUND((C75-AVERAGE(C2:C273))/AVERAGE(C2:C273) * 100,0)</f>
        <v>-2</v>
      </c>
      <c r="G75" s="3" t="s">
        <v>483</v>
      </c>
      <c r="H75" s="3" t="n">
        <v>3.5</v>
      </c>
      <c r="I75" s="3" t="n">
        <v>3.4</v>
      </c>
      <c r="J75" s="3" t="n">
        <v>3.9</v>
      </c>
      <c r="K75" s="3" t="n">
        <v>3.5</v>
      </c>
      <c r="L75" s="3" t="n">
        <v>3.5</v>
      </c>
      <c r="M75" s="3" t="n">
        <v>3.1</v>
      </c>
      <c r="N75" s="3" t="n">
        <v>2.7</v>
      </c>
      <c r="O75" s="3" t="n">
        <v>2000</v>
      </c>
      <c r="P75" s="4" t="n">
        <v>2500</v>
      </c>
      <c r="Q75" s="4" t="n">
        <v>17000</v>
      </c>
      <c r="R75" s="3" t="s">
        <v>484</v>
      </c>
      <c r="S75" s="4" t="s">
        <v>46</v>
      </c>
      <c r="T75" s="3"/>
      <c r="U75" s="3" t="s">
        <v>485</v>
      </c>
      <c r="V75" s="3" t="s">
        <v>486</v>
      </c>
      <c r="W75" s="3" t="s">
        <v>487</v>
      </c>
      <c r="X75" s="3" t="s">
        <v>41</v>
      </c>
      <c r="Y75" s="3" t="n">
        <v>31.6</v>
      </c>
      <c r="Z75" s="3" t="s">
        <v>488</v>
      </c>
      <c r="AA75" s="3" t="n">
        <v>13</v>
      </c>
      <c r="AB75" s="4" t="n">
        <v>4.7</v>
      </c>
      <c r="AC75" s="4" t="n">
        <v>0</v>
      </c>
      <c r="AD75" s="3" t="n">
        <v>-2</v>
      </c>
      <c r="AE75" s="3" t="n">
        <v>-8</v>
      </c>
      <c r="AF75" s="4" t="n">
        <v>-54</v>
      </c>
      <c r="AG75" s="4" t="n">
        <v>392</v>
      </c>
    </row>
    <row r="76" customFormat="false" ht="15" hidden="false" customHeight="false" outlineLevel="0" collapsed="false">
      <c r="A76" s="1" t="s">
        <v>489</v>
      </c>
      <c r="B76" s="1" t="s">
        <v>490</v>
      </c>
      <c r="C76" s="1" t="n">
        <v>5</v>
      </c>
      <c r="D76" s="1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1" t="n">
        <v>30</v>
      </c>
      <c r="Q76" s="1" t="n">
        <v>30</v>
      </c>
      <c r="R76" s="1" t="s">
        <v>492</v>
      </c>
      <c r="S76" s="5" t="s">
        <v>213</v>
      </c>
      <c r="U76" s="1" t="s">
        <v>493</v>
      </c>
      <c r="V76" s="1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1" t="n">
        <v>1.4</v>
      </c>
      <c r="AC76" s="1" t="n">
        <v>30</v>
      </c>
      <c r="AD76" s="1" t="n">
        <v>37</v>
      </c>
      <c r="AE76" s="1" t="n">
        <v>100</v>
      </c>
      <c r="AF76" s="5" t="s">
        <v>147</v>
      </c>
      <c r="AG76" s="5" t="s">
        <v>147</v>
      </c>
    </row>
    <row r="77" s="4" customFormat="true" ht="15" hidden="false" customHeight="false" outlineLevel="0" collapsed="false">
      <c r="A77" s="4" t="s">
        <v>489</v>
      </c>
      <c r="B77" s="4" t="s">
        <v>498</v>
      </c>
      <c r="C77" s="4" t="n">
        <v>3.8</v>
      </c>
      <c r="D77" s="4" t="n">
        <v>461</v>
      </c>
      <c r="E77" s="4" t="n">
        <v>6</v>
      </c>
      <c r="F77" s="4" t="n">
        <f aca="false">ROUND((C77-AVERAGE(C2:C275))/AVERAGE(C2:C275) * 100,0)</f>
        <v>3</v>
      </c>
      <c r="G77" s="4" t="s">
        <v>499</v>
      </c>
      <c r="H77" s="4" t="n">
        <v>3.6</v>
      </c>
      <c r="I77" s="4" t="n">
        <v>3.4</v>
      </c>
      <c r="J77" s="4" t="n">
        <v>3.8</v>
      </c>
      <c r="K77" s="4" t="n">
        <v>3.8</v>
      </c>
      <c r="L77" s="4" t="n">
        <v>4</v>
      </c>
      <c r="M77" s="4" t="n">
        <v>3.8</v>
      </c>
      <c r="N77" s="4" t="n">
        <v>3.4</v>
      </c>
      <c r="O77" s="4" t="n">
        <v>1994</v>
      </c>
      <c r="P77" s="4" t="n">
        <v>2200</v>
      </c>
      <c r="Q77" s="4" t="n">
        <v>2600</v>
      </c>
      <c r="R77" s="4" t="s">
        <v>500</v>
      </c>
      <c r="S77" s="4" t="s">
        <v>46</v>
      </c>
      <c r="T77" s="4" t="s">
        <v>157</v>
      </c>
      <c r="U77" s="4" t="s">
        <v>501</v>
      </c>
      <c r="V77" s="4" t="s">
        <v>502</v>
      </c>
      <c r="W77" s="4" t="s">
        <v>503</v>
      </c>
      <c r="X77" s="4" t="s">
        <v>504</v>
      </c>
      <c r="Y77" s="4" t="n">
        <v>24.9</v>
      </c>
      <c r="Z77" s="4" t="s">
        <v>505</v>
      </c>
      <c r="AA77" s="4" t="n">
        <v>13</v>
      </c>
      <c r="AB77" s="4" t="n">
        <v>6.7</v>
      </c>
      <c r="AC77" s="4" t="n">
        <v>4</v>
      </c>
      <c r="AD77" s="4" t="n">
        <v>4</v>
      </c>
      <c r="AE77" s="4" t="n">
        <v>3</v>
      </c>
      <c r="AF77" s="4" t="n">
        <v>83</v>
      </c>
      <c r="AG77" s="4" t="n">
        <v>198</v>
      </c>
    </row>
  </sheetData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2026-07-18T20:42:40Z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