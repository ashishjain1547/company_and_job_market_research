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<sst xmlns="http://schemas.openxmlformats.org/spreadsheetml/2006/main" count="717" uniqueCount="426">
  <si>
    <t xml:space="preserve">Date</t>
  </si>
  <si>
    <t xml:space="preserve">Company</t>
  </si>
  <si>
    <t xml:space="preserve">Rating</t>
  </si>
  <si>
    <t xml:space="preserve">#Reviews</t>
  </si>
  <si>
    <t xml:space="preserve">Industry level insights (%: -100 (below industry's average) to 100)</t>
  </si>
  <si>
    <t xml:space="preserve">Sample Avg Insights</t>
  </si>
  <si>
    <t xml:space="preserve">URL</t>
  </si>
  <si>
    <t xml:space="preserve">Company Culture</t>
  </si>
  <si>
    <t xml:space="preserve">Salary</t>
  </si>
  <si>
    <t xml:space="preserve">Work-Life Balance</t>
  </si>
  <si>
    <t xml:space="preserve">Work Satisfaction</t>
  </si>
  <si>
    <t xml:space="preserve">Skill Development</t>
  </si>
  <si>
    <t xml:space="preserve">Job Security</t>
  </si>
  <si>
    <t xml:space="preserve">Promotions</t>
  </si>
  <si>
    <t xml:space="preserve">Founded in</t>
  </si>
  <si>
    <t xml:space="preserve">India Employee Count</t>
  </si>
  <si>
    <t xml:space="preserve">Global Employee Count</t>
  </si>
  <si>
    <t xml:space="preserve">Company Website</t>
  </si>
  <si>
    <t xml:space="preserve">Company Industry</t>
  </si>
  <si>
    <t xml:space="preserve">Other Industries</t>
  </si>
  <si>
    <t xml:space="preserve">HQ</t>
  </si>
  <si>
    <t xml:space="preserve">LinkedIn</t>
  </si>
  <si>
    <t xml:space="preserve">Annual Revenue as of Jun 2026</t>
  </si>
  <si>
    <t xml:space="preserve">Position</t>
  </si>
  <si>
    <t xml:space="preserve">Avg Salary (L/Yr)</t>
  </si>
  <si>
    <t xml:space="preserve">Salary_URL</t>
  </si>
  <si>
    <t xml:space="preserve">My YOE</t>
  </si>
  <si>
    <t xml:space="preserve">Median current employee tenure (in years)</t>
  </si>
  <si>
    <t xml:space="preserve">Employee Count Growth 6M %</t>
  </si>
  <si>
    <t xml:space="preserve">Employee Count Growth 1Y %</t>
  </si>
  <si>
    <t xml:space="preserve">Employee Count Growth 2Y %</t>
  </si>
  <si>
    <t xml:space="preserve">Jan / 16 / 2026</t>
  </si>
  <si>
    <t xml:space="preserve">Axtria</t>
  </si>
  <si>
    <t xml:space="preserve">https://www.ambitionbox.com/reviews/axtria-reviews</t>
  </si>
  <si>
    <t xml:space="preserve">https://www.axtria.com/</t>
  </si>
  <si>
    <t xml:space="preserve">Data analytics &amp; cloud software company focused on Life Sciences</t>
  </si>
  <si>
    <t xml:space="preserve">Berkeley Heights,New Jersey, United States</t>
  </si>
  <si>
    <t xml:space="preserve">https://www.linkedin.com/company/axtria/</t>
  </si>
  <si>
    <t xml:space="preserve"> $275 million</t>
  </si>
  <si>
    <t xml:space="preserve">Lead Data Scientist</t>
  </si>
  <si>
    <t xml:space="preserve">https://www.ambitionbox.com/salaries/axtria-salaries/lead-data-scientist</t>
  </si>
  <si>
    <t xml:space="preserve">Infosys</t>
  </si>
  <si>
    <t xml:space="preserve">https://www.ambitionbox.com/reviews/infosys-reviews</t>
  </si>
  <si>
    <t xml:space="preserve">https://www.infosys.com/</t>
  </si>
  <si>
    <t xml:space="preserve">IT Services &amp; Consulting</t>
  </si>
  <si>
    <t xml:space="preserve">https://www.linkedin.com/company/infosys/insights/</t>
  </si>
  <si>
    <t xml:space="preserve">$20.16 billion</t>
  </si>
  <si>
    <t xml:space="preserve">https://www.ambitionbox.com/salaries/infosys-salaries/lead-data-scientist</t>
  </si>
  <si>
    <t xml:space="preserve">Accenture</t>
  </si>
  <si>
    <t xml:space="preserve">https://www.ambitionbox.com/reviews/accenture-reviews</t>
  </si>
  <si>
    <t xml:space="preserve">https://www.accenture.com/</t>
  </si>
  <si>
    <t xml:space="preserve">Analytics &amp; KPO</t>
  </si>
  <si>
    <t xml:space="preserve">https://www.linkedin.com/company/accenture/insights/</t>
  </si>
  <si>
    <t xml:space="preserve">$69.67 billion</t>
  </si>
  <si>
    <t xml:space="preserve">Lead Data Scientist </t>
  </si>
  <si>
    <t xml:space="preserve">https://www.ambitionbox.com/salaries/accenture-salaries/lead-data-scientist</t>
  </si>
  <si>
    <t xml:space="preserve">Cognizant</t>
  </si>
  <si>
    <t xml:space="preserve">https://www.ambitionbox.com/reviews/cognizant-reviews</t>
  </si>
  <si>
    <t xml:space="preserve">https://www.cognizant.com/</t>
  </si>
  <si>
    <t xml:space="preserve">Consulting</t>
  </si>
  <si>
    <t xml:space="preserve">https://www.linkedin.com/company/cognizant/insights/</t>
  </si>
  <si>
    <t xml:space="preserve">$21.11 billion</t>
  </si>
  <si>
    <t xml:space="preserve">https://www.ambitionbox.com/salaries/cognizant-salaries/lead-data-scientist</t>
  </si>
  <si>
    <t xml:space="preserve">Nagarro</t>
  </si>
  <si>
    <t xml:space="preserve">https://www.ambitionbox.com/reviews/nagarro-reviews</t>
  </si>
  <si>
    <t xml:space="preserve">https://www.nagarro.com/en/</t>
  </si>
  <si>
    <t xml:space="preserve">Internet</t>
  </si>
  <si>
    <t xml:space="preserve">https://www.linkedin.com/company/nagarro/insights/</t>
  </si>
  <si>
    <t xml:space="preserve">$1.07 billion</t>
  </si>
  <si>
    <t xml:space="preserve">https://www.ambitionbox.com/salaries/nagarro-salaries/lead-data-scientist</t>
  </si>
  <si>
    <t xml:space="preserve">American Express</t>
  </si>
  <si>
    <t xml:space="preserve">https://www.ambitionbox.com/reviews/american-express-reviews</t>
  </si>
  <si>
    <t xml:space="preserve">https://www.americanexpress.com/en-in/</t>
  </si>
  <si>
    <t xml:space="preserve">Financial Services</t>
  </si>
  <si>
    <t xml:space="preserve">Retail</t>
  </si>
  <si>
    <t xml:space="preserve">https://www.linkedin.com/company/american-express/insights/</t>
  </si>
  <si>
    <t xml:space="preserve">$72.2 billion</t>
  </si>
  <si>
    <t xml:space="preserve">https://www.ambitionbox.com/salaries/american-express-salaries/lead-data-scientist</t>
  </si>
  <si>
    <t xml:space="preserve">Feb / 13 / 2026</t>
  </si>
  <si>
    <t xml:space="preserve">GSPANN</t>
  </si>
  <si>
    <t xml:space="preserve">https://www.ambitionbox.com/reviews/gspann-technologies-reviews</t>
  </si>
  <si>
    <t xml:space="preserve">https://www.gspann.com/</t>
  </si>
  <si>
    <t xml:space="preserve">https://www.linkedin.com/company/gspann-technologies-inc/insights/</t>
  </si>
  <si>
    <t xml:space="preserve">$465 million</t>
  </si>
  <si>
    <t xml:space="preserve">https://www.ambitionbox.com/salaries/gspann-technologies-salaries/lead-data-scientist</t>
  </si>
  <si>
    <t xml:space="preserve">Feb / 14 / 2026</t>
  </si>
  <si>
    <t xml:space="preserve">IBM Consulting</t>
  </si>
  <si>
    <t xml:space="preserve">https://www.ambitionbox.com/reviews/ibm-consulting-reviews</t>
  </si>
  <si>
    <t xml:space="preserve">https://www.ibm.com/</t>
  </si>
  <si>
    <t xml:space="preserve">https://www.linkedin.com/company/ibm/insights/</t>
  </si>
  <si>
    <t xml:space="preserve">$21.1 billion</t>
  </si>
  <si>
    <t xml:space="preserve">https://www.ambitionbox.com/salaries/ibm-consulting-salaries/lead-data-scientist</t>
  </si>
  <si>
    <t xml:space="preserve">IBM</t>
  </si>
  <si>
    <t xml:space="preserve">https://www.ambitionbox.com/reviews/ibm-reviews</t>
  </si>
  <si>
    <t xml:space="preserve">$67.54 billion</t>
  </si>
  <si>
    <t xml:space="preserve">https://www.ambitionbox.com/salaries/ibm-salaries/lead-data-scientist</t>
  </si>
  <si>
    <t xml:space="preserve">Jun / 11 / 2026</t>
  </si>
  <si>
    <t xml:space="preserve">ZS</t>
  </si>
  <si>
    <t xml:space="preserve">https://www.ambitionbox.com/reviews/zs-reviews</t>
  </si>
  <si>
    <t xml:space="preserve">https://www.zs.com/</t>
  </si>
  <si>
    <t xml:space="preserve">Management Consulting</t>
  </si>
  <si>
    <t xml:space="preserve">https://www.linkedin.com/company/zs-associates/insights/</t>
  </si>
  <si>
    <t xml:space="preserve">$3.2 billion</t>
  </si>
  <si>
    <t xml:space="preserve">https://www.ambitionbox.com/salaries/zs-salaries/lead-data-scientist</t>
  </si>
  <si>
    <t xml:space="preserve">TCS</t>
  </si>
  <si>
    <t xml:space="preserve">https://www.ambitionbox.com/reviews/tcs-reviews</t>
  </si>
  <si>
    <t xml:space="preserve">https://www.tcs.com/</t>
  </si>
  <si>
    <t xml:space="preserve">https://www.linkedin.com/company/tata-consultancy-services/insights/</t>
  </si>
  <si>
    <t xml:space="preserve">$30.01 billion</t>
  </si>
  <si>
    <t xml:space="preserve">https://www.ambitionbox.com/salaries/tcs-salaries/lead-data-scientist</t>
  </si>
  <si>
    <t xml:space="preserve">HCLTech</t>
  </si>
  <si>
    <t xml:space="preserve">https://www.ambitionbox.com/reviews/hcl-technologies-reviews</t>
  </si>
  <si>
    <t xml:space="preserve">https://careers.hcltech.com/go/India/9553955/</t>
  </si>
  <si>
    <t xml:space="preserve">Engineering and R&amp;D Services</t>
  </si>
  <si>
    <t xml:space="preserve">https://www.linkedin.com/company/hcltech/insights/</t>
  </si>
  <si>
    <t xml:space="preserve">$14.66 billion</t>
  </si>
  <si>
    <t xml:space="preserve">https://www.ambitionbox.com/salaries/hcl-technologies-salaries/lead-data-scientist</t>
  </si>
  <si>
    <t xml:space="preserve">Jun / 12 / 2026</t>
  </si>
  <si>
    <t xml:space="preserve">KPMG India</t>
  </si>
  <si>
    <t xml:space="preserve">https://www.ambitionbox.com/reviews/kpmg-india-reviews</t>
  </si>
  <si>
    <t xml:space="preserve">https://kpmg.com/</t>
  </si>
  <si>
    <t xml:space="preserve">https://www.linkedin.com/company/kpmgindia/insights/</t>
  </si>
  <si>
    <t xml:space="preserve">$39.8 billion</t>
  </si>
  <si>
    <t xml:space="preserve">https://www.ambitionbox.com/salaries/kpmg-india-salaries/lead-data-scientist</t>
  </si>
  <si>
    <t xml:space="preserve">PwC</t>
  </si>
  <si>
    <t xml:space="preserve">https://www.ambitionbox.com/reviews/pwc-reviews</t>
  </si>
  <si>
    <t xml:space="preserve">https://www.pwc.com/gx/en.html</t>
  </si>
  <si>
    <t xml:space="preserve">Accounting &amp; Auditing </t>
  </si>
  <si>
    <t xml:space="preserve">https://www.linkedin.com/company/pwc/insights/</t>
  </si>
  <si>
    <t xml:space="preserve">$56.9 billion</t>
  </si>
  <si>
    <t xml:space="preserve">https://www.ambitionbox.com/salaries/pwc-salaries/lead-data-scientist</t>
  </si>
  <si>
    <t xml:space="preserve">Lumen Technologies</t>
  </si>
  <si>
    <t xml:space="preserve">https://www.ambitionbox.com/reviews/lumen-technologies-reviews</t>
  </si>
  <si>
    <t xml:space="preserve">https://www.lumen.com/en-in/</t>
  </si>
  <si>
    <t xml:space="preserve">Hardware &amp; Networking</t>
  </si>
  <si>
    <t xml:space="preserve">https://www.linkedin.com/company/lumentechnologies/insights/</t>
  </si>
  <si>
    <t xml:space="preserve">$12.402 billion</t>
  </si>
  <si>
    <t xml:space="preserve">https://www.ambitionbox.com/salaries/lumen-technologies-salaries/lead-data-scientist</t>
  </si>
  <si>
    <t xml:space="preserve">TECHPINNACLE BIT SOLUTIONS</t>
  </si>
  <si>
    <t xml:space="preserve">https://www.ambitionbox.com/reviews/techpinnacle-bit-solutions-reviews</t>
  </si>
  <si>
    <t xml:space="preserve">https://www.techapso.com/</t>
  </si>
  <si>
    <t xml:space="preserve">https://www.linkedin.com/company/techpinnacle-bit-solutions/insights/</t>
  </si>
  <si>
    <t xml:space="preserve">$5 million </t>
  </si>
  <si>
    <t xml:space="preserve">Consultant</t>
  </si>
  <si>
    <t xml:space="preserve">https://www.ambitionbox.com/salaries/techpinnacle-bit-solutions-salaries/consultant</t>
  </si>
  <si>
    <t xml:space="preserve">Genpact</t>
  </si>
  <si>
    <t xml:space="preserve">https://www.ambitionbox.com/reviews/genpact-reviews</t>
  </si>
  <si>
    <t xml:space="preserve">https://www.genpact.com/</t>
  </si>
  <si>
    <t xml:space="preserve">https://www.linkedin.com/company/genpact/insights/</t>
  </si>
  <si>
    <t xml:space="preserve">$5.080 billion</t>
  </si>
  <si>
    <t xml:space="preserve">https://www.ambitionbox.com/salaries/genpact-salaries/lead-data-scientist</t>
  </si>
  <si>
    <t xml:space="preserve">Google</t>
  </si>
  <si>
    <t xml:space="preserve">https://www.ambitionbox.com/reviews/google-reviews</t>
  </si>
  <si>
    <t xml:space="preserve">https://googleoperationscenter.com/</t>
  </si>
  <si>
    <t xml:space="preserve">Software Product (Internet)</t>
  </si>
  <si>
    <t xml:space="preserve">https://www.linkedin.com/company/google/insights/</t>
  </si>
  <si>
    <t xml:space="preserve">$422.50 billion</t>
  </si>
  <si>
    <t xml:space="preserve">https://www.ambitionbox.com/salaries/google-salaries/lead-data-scientist</t>
  </si>
  <si>
    <t xml:space="preserve">Amazon</t>
  </si>
  <si>
    <t xml:space="preserve">https://www.ambitionbox.com/reviews/amazon-reviews</t>
  </si>
  <si>
    <t xml:space="preserve">https://amazon.jobs/en/</t>
  </si>
  <si>
    <t xml:space="preserve">https://www.linkedin.com/company/amazon/insights/</t>
  </si>
  <si>
    <t xml:space="preserve">$742.78 billion</t>
  </si>
  <si>
    <t xml:space="preserve">https://www.ambitionbox.com/salaries/amazon-salaries/lead-data-scientist</t>
  </si>
  <si>
    <t xml:space="preserve">Jun / 13 / 2026</t>
  </si>
  <si>
    <t xml:space="preserve">Procore</t>
  </si>
  <si>
    <t xml:space="preserve">https://www.ambitionbox.com/reviews/procore-reviews</t>
  </si>
  <si>
    <t xml:space="preserve">https://www.procore.com/en-sg</t>
  </si>
  <si>
    <t xml:space="preserve">https://www.linkedin.com/company/procore-technologies/insights/</t>
  </si>
  <si>
    <t xml:space="preserve">$1.37 billion</t>
  </si>
  <si>
    <t xml:space="preserve">Data Scientist Staff</t>
  </si>
  <si>
    <t xml:space="preserve">https://www.ambitionbox.com/salaries/procore-salaries/data-scientist-staff?department=data-science-analytics</t>
  </si>
  <si>
    <t xml:space="preserve">Siemens Energy</t>
  </si>
  <si>
    <t xml:space="preserve">https://www.ambitionbox.com/reviews/siemens-energy-reviews</t>
  </si>
  <si>
    <t xml:space="preserve">https://www.siemens-energy.com/global/en.html</t>
  </si>
  <si>
    <t xml:space="preserve">Power</t>
  </si>
  <si>
    <t xml:space="preserve">https://www.linkedin.com/company/siemens-energy/insights/</t>
  </si>
  <si>
    <t xml:space="preserve">$40.14 billion</t>
  </si>
  <si>
    <t xml:space="preserve">https://www.ambitionbox.com/salaries/siemens-energy-salaries/lead-data-scientist</t>
  </si>
  <si>
    <t xml:space="preserve">Jun / 16 / 2026</t>
  </si>
  <si>
    <t xml:space="preserve">Dentsu Global Services</t>
  </si>
  <si>
    <t xml:space="preserve">https://www.ambitionbox.com/overview/dentsu-global-services-overview</t>
  </si>
  <si>
    <t xml:space="preserve">https://www.dentsu.com/</t>
  </si>
  <si>
    <t xml:space="preserve">Marketing &amp; Advertising</t>
  </si>
  <si>
    <t xml:space="preserve">https://www.linkedin.com/company/dentsuglobalservices/insights/</t>
  </si>
  <si>
    <t xml:space="preserve">$60 million</t>
  </si>
  <si>
    <t xml:space="preserve">https://www.ambitionbox.com/salaries/dentsu-global-services-salaries/lead-data-scientist</t>
  </si>
  <si>
    <t xml:space="preserve">Statusneo</t>
  </si>
  <si>
    <t xml:space="preserve">https://www.ambitionbox.com/overview/statusneo-overview</t>
  </si>
  <si>
    <t xml:space="preserve">https://statusneo.com/</t>
  </si>
  <si>
    <t xml:space="preserve">IT Services &amp; Management Consulting</t>
  </si>
  <si>
    <t xml:space="preserve">https://www.linkedin.com/company/statusneo/insights/</t>
  </si>
  <si>
    <t xml:space="preserve">$156 million</t>
  </si>
  <si>
    <t xml:space="preserve">https://www.ambitionbox.com/salaries/statusneo-salaries/lead-data-scientist</t>
  </si>
  <si>
    <t xml:space="preserve">Tredence</t>
  </si>
  <si>
    <t xml:space="preserve">https://www.ambitionbox.com/overview/tredence-overview</t>
  </si>
  <si>
    <t xml:space="preserve">https://www.tredence.com/</t>
  </si>
  <si>
    <t xml:space="preserve">https://www.linkedin.com/company/tredence/insights/</t>
  </si>
  <si>
    <t xml:space="preserve">$325 million</t>
  </si>
  <si>
    <t xml:space="preserve">https://www.ambitionbox.com/salaries/tredence-salaries/lead-data-scientist</t>
  </si>
  <si>
    <t xml:space="preserve">Jun / 21 / 2026</t>
  </si>
  <si>
    <t xml:space="preserve">Capgemini</t>
  </si>
  <si>
    <t xml:space="preserve">https://www.ambitionbox.com/reviews/capgemini-reviews</t>
  </si>
  <si>
    <t xml:space="preserve">https://www.capgemini.com/in-en/</t>
  </si>
  <si>
    <t xml:space="preserve">https://www.linkedin.com/company/capgemini/insights/</t>
  </si>
  <si>
    <t xml:space="preserve">$22.46 billion</t>
  </si>
  <si>
    <t xml:space="preserve">https://www.ambitionbox.com/salaries/capgemini-salaries/lead-data-scientist</t>
  </si>
  <si>
    <t xml:space="preserve">HMH Technology Private Limited</t>
  </si>
  <si>
    <t xml:space="preserve">https://www.ambitionbox.com/reviews/hmh-technology-private-limited-reviews</t>
  </si>
  <si>
    <t xml:space="preserve">https://www.hmhco.com/</t>
  </si>
  <si>
    <t xml:space="preserve">EdTech</t>
  </si>
  <si>
    <t xml:space="preserve">https://www.linkedin.com/company/hmh-india/insights/</t>
  </si>
  <si>
    <t xml:space="preserve">$1.41 billion</t>
  </si>
  <si>
    <t xml:space="preserve">Team Lead</t>
  </si>
  <si>
    <t xml:space="preserve">https://www.ambitionbox.com/salaries/hmh-technology-private-limited-salaries/team-lead</t>
  </si>
  <si>
    <t xml:space="preserve">Chegg</t>
  </si>
  <si>
    <t xml:space="preserve">https://www.ambitionbox.com/overview/chegg-overview</t>
  </si>
  <si>
    <t xml:space="preserve">https://www.chegg.com/</t>
  </si>
  <si>
    <t xml:space="preserve">https://www.linkedin.com/company/chegg-inc-/insights/</t>
  </si>
  <si>
    <t xml:space="preserve">$319 million</t>
  </si>
  <si>
    <t xml:space="preserve">https://www.ambitionbox.com/salaries/chegg-salaries/lead-data-scientist</t>
  </si>
  <si>
    <t xml:space="preserve">Khan Academy</t>
  </si>
  <si>
    <t xml:space="preserve">https://www.ambitionbox.com/overview/khan-academy-overview</t>
  </si>
  <si>
    <t xml:space="preserve">https://www.khanacademy.org/</t>
  </si>
  <si>
    <t xml:space="preserve">https://www.linkedin.com/school/khan-academy/insights/</t>
  </si>
  <si>
    <t xml:space="preserve">$128 million</t>
  </si>
  <si>
    <t xml:space="preserve">Senior Product Lead</t>
  </si>
  <si>
    <t xml:space="preserve">https://www.ambitionbox.com/salaries/khan-academy-salaries?page=3</t>
  </si>
  <si>
    <t xml:space="preserve">Jun / 23 / 2026</t>
  </si>
  <si>
    <t xml:space="preserve">Bounteous x Accolite (Accolite Digital India Pvt. Ltd.)</t>
  </si>
  <si>
    <t xml:space="preserve">https://www.ambitionbox.com/overview/accolite-overview</t>
  </si>
  <si>
    <t xml:space="preserve">https://www.bounteous.com/</t>
  </si>
  <si>
    <t xml:space="preserve">https://www.linkedin.com/company/bounteous-accolite/insights/</t>
  </si>
  <si>
    <t xml:space="preserve">https://www.ambitionbox.com/salaries/accolite-salaries/lead-data-scientist</t>
  </si>
  <si>
    <t xml:space="preserve">Boston Consulting Group</t>
  </si>
  <si>
    <t xml:space="preserve">https://www.ambitionbox.com/overview/bcg-overview</t>
  </si>
  <si>
    <t xml:space="preserve">https://www.bcg.com/</t>
  </si>
  <si>
    <t xml:space="preserve">https://www.linkedin.com/company/boston-consulting-group/insights/</t>
  </si>
  <si>
    <t xml:space="preserve">$14.4 billion</t>
  </si>
  <si>
    <t xml:space="preserve">https://www.ambitionbox.com/salaries/bcg-salaries/lead-data-scientist</t>
  </si>
  <si>
    <t xml:space="preserve">S&amp;P Global</t>
  </si>
  <si>
    <t xml:space="preserve">https://www.ambitionbox.com/overview/s-and-p-global-overview</t>
  </si>
  <si>
    <t xml:space="preserve">https://www.spglobal.com/en</t>
  </si>
  <si>
    <t xml:space="preserve">https://www.linkedin.com/company/spglobal/insights/</t>
  </si>
  <si>
    <t xml:space="preserve">$15.73 billion</t>
  </si>
  <si>
    <t xml:space="preserve">https://www.ambitionbox.com/salaries/s-and-p-global-salaries/lead-data-scientist</t>
  </si>
  <si>
    <t xml:space="preserve">Mindlance</t>
  </si>
  <si>
    <t xml:space="preserve">https://www.ambitionbox.com/overview/mindlance-overview</t>
  </si>
  <si>
    <t xml:space="preserve">https://www.mindlance.com/</t>
  </si>
  <si>
    <t xml:space="preserve">Recruitment</t>
  </si>
  <si>
    <t xml:space="preserve">https://www.linkedin.com/company/mindlance/insights/</t>
  </si>
  <si>
    <t xml:space="preserve">$400 million </t>
  </si>
  <si>
    <t xml:space="preserve">Business Analyst </t>
  </si>
  <si>
    <t xml:space="preserve">https://www.ambitionbox.com/salaries/mindlance-salaries/business-analyst?department=data-science-analytics</t>
  </si>
  <si>
    <t xml:space="preserve">EXL Service</t>
  </si>
  <si>
    <t xml:space="preserve">https://www.ambitionbox.com/reviews/exl-service-reviews</t>
  </si>
  <si>
    <t xml:space="preserve">https://www.exlservice.com/</t>
  </si>
  <si>
    <t xml:space="preserve">https://www.linkedin.com/company/exl-service/insights/</t>
  </si>
  <si>
    <t xml:space="preserve">$2.16 billion</t>
  </si>
  <si>
    <t xml:space="preserve">https://www.ambitionbox.com/salaries/exl-service-salaries/lead-data-scientist</t>
  </si>
  <si>
    <t xml:space="preserve">Jun / 25 / 2026</t>
  </si>
  <si>
    <t xml:space="preserve">Optum Global Solutions </t>
  </si>
  <si>
    <t xml:space="preserve">https://www.ambitionbox.com/reviews/optum-global-solutions-reviews</t>
  </si>
  <si>
    <t xml:space="preserve">https://www.unitedhealthgroup.com/</t>
  </si>
  <si>
    <t xml:space="preserve">https://www.linkedin.com/company/optum/insights/</t>
  </si>
  <si>
    <t xml:space="preserve">$270.6 billion</t>
  </si>
  <si>
    <t xml:space="preserve">https://www.ambitionbox.com/salaries/optum-global-solutions-salaries/lead-data-scientist</t>
  </si>
  <si>
    <t xml:space="preserve">Jun / 26 / 2026</t>
  </si>
  <si>
    <t xml:space="preserve">https://www.linkedin.com/company/axtria/insights/</t>
  </si>
  <si>
    <t xml:space="preserve">Altimetrik</t>
  </si>
  <si>
    <t xml:space="preserve">https://www.ambitionbox.com/overview/altimetrik-overview</t>
  </si>
  <si>
    <t xml:space="preserve">https://www.altimetrik.com/</t>
  </si>
  <si>
    <t xml:space="preserve">Southfield, Michigan, US</t>
  </si>
  <si>
    <t xml:space="preserve">https://www.linkedin.com/company/altimetrik/insights/</t>
  </si>
  <si>
    <t xml:space="preserve">$1.2 billion</t>
  </si>
  <si>
    <t xml:space="preserve">https://www.ambitionbox.com/salaries/altimetrik-salaries/lead-data-scientist</t>
  </si>
  <si>
    <t xml:space="preserve">Deeplearning.ai</t>
  </si>
  <si>
    <t xml:space="preserve">-</t>
  </si>
  <si>
    <t xml:space="preserve">https://www.ambitionbox.com/overview/deeplearning-dot-ai-overview</t>
  </si>
  <si>
    <t xml:space="preserve">https://www.deeplearning.ai/</t>
  </si>
  <si>
    <t xml:space="preserve">Mountain View, California, US</t>
  </si>
  <si>
    <t xml:space="preserve">https://www.linkedin.com/company/deeplearningai/insights/</t>
  </si>
  <si>
    <t xml:space="preserve">$41.3 million</t>
  </si>
  <si>
    <t xml:space="preserve">Jun / 27 / 2026</t>
  </si>
  <si>
    <t xml:space="preserve">Magic EdTech</t>
  </si>
  <si>
    <t xml:space="preserve">https://www.ambitionbox.com/reviews/magic-edtech-reviews</t>
  </si>
  <si>
    <t xml:space="preserve">https://www.magicedtech.com/</t>
  </si>
  <si>
    <t xml:space="preserve">New York, United States</t>
  </si>
  <si>
    <t xml:space="preserve">https://www.linkedin.com/company/magic-edtech/insights/</t>
  </si>
  <si>
    <t xml:space="preserve">$195 million</t>
  </si>
  <si>
    <t xml:space="preserve">Product Management Lead</t>
  </si>
  <si>
    <t xml:space="preserve">https://www.ambitionbox.com/salaries/magic-edtech-salaries/product-management-lead</t>
  </si>
  <si>
    <t xml:space="preserve">The Web Plant</t>
  </si>
  <si>
    <t xml:space="preserve">https://www.ambitionbox.com/overview/the-webplant-overview</t>
  </si>
  <si>
    <t xml:space="preserve">http://thewebplant.com/</t>
  </si>
  <si>
    <t xml:space="preserve">New Delhi, India</t>
  </si>
  <si>
    <t xml:space="preserve">https://www.linkedin.com/company/the-webplant-pvt-ltd-/insights/</t>
  </si>
  <si>
    <t xml:space="preserve">$0.81 million</t>
  </si>
  <si>
    <t xml:space="preserve">https://www.ambitionbox.com/salaries/the-webplant-salaries/team-lead</t>
  </si>
  <si>
    <t xml:space="preserve">Techahead Software</t>
  </si>
  <si>
    <t xml:space="preserve">https://www.ambitionbox.com/overview/techahead-software-overview</t>
  </si>
  <si>
    <t xml:space="preserve">https://www.techaheadcorp.com/</t>
  </si>
  <si>
    <t xml:space="preserve">Noida, Uttar Pradesh, India</t>
  </si>
  <si>
    <t xml:space="preserve">https://www.linkedin.com/company/techahead/insights/</t>
  </si>
  <si>
    <t xml:space="preserve">$3.38 million</t>
  </si>
  <si>
    <t xml:space="preserve">Senior Technology Lead</t>
  </si>
  <si>
    <t xml:space="preserve">https://www.ambitionbox.com/salaries/techahead-software-salaries/senior-technology-lead</t>
  </si>
  <si>
    <t xml:space="preserve">Mobileum</t>
  </si>
  <si>
    <t xml:space="preserve">https://www.ambitionbox.com/overview/mobileum-overview</t>
  </si>
  <si>
    <t xml:space="preserve">https://www.mobileum.com/</t>
  </si>
  <si>
    <t xml:space="preserve">Telecom</t>
  </si>
  <si>
    <t xml:space="preserve">Cupertino, California, US</t>
  </si>
  <si>
    <t xml:space="preserve">https://www.linkedin.com/company/mobileum/insights/</t>
  </si>
  <si>
    <t xml:space="preserve">$378.1 million</t>
  </si>
  <si>
    <t xml:space="preserve">Associate Solution Architect</t>
  </si>
  <si>
    <t xml:space="preserve">https://www.ambitionbox.com/salaries/mobileum-salaries/associate-solution-architect</t>
  </si>
  <si>
    <t xml:space="preserve">Jun / 28 / 2026</t>
  </si>
  <si>
    <t xml:space="preserve">Virtusa Consulting Services</t>
  </si>
  <si>
    <t xml:space="preserve">https://www.ambitionbox.com/overview/virtusa-consulting-services-overview</t>
  </si>
  <si>
    <t xml:space="preserve">https://www.virtusa.com/</t>
  </si>
  <si>
    <t xml:space="preserve">Southborough, Massachusetts, United States</t>
  </si>
  <si>
    <t xml:space="preserve">https://www.linkedin.com/company/virtusa/insights/</t>
  </si>
  <si>
    <t xml:space="preserve">$1.8 billion</t>
  </si>
  <si>
    <t xml:space="preserve">Associate Engineering Manager</t>
  </si>
  <si>
    <t xml:space="preserve">https://www.ambitionbox.com/salaries/virtusa-consulting-services-salaries/associate-engineering-manager</t>
  </si>
  <si>
    <t xml:space="preserve">https://www.glassdoor.co.uk/Overview/Working-at-deeplearning-ai-EI_IE2126762.11,26.htm</t>
  </si>
  <si>
    <t xml:space="preserve">Jun / 30 / 2026</t>
  </si>
  <si>
    <t xml:space="preserve">Sutherland Global Services</t>
  </si>
  <si>
    <t xml:space="preserve">https://www.ambitionbox.com/reviews/sutherland-global-services-reviews</t>
  </si>
  <si>
    <t xml:space="preserve">https://www.sutherlandglobal.com/</t>
  </si>
  <si>
    <t xml:space="preserve">Pittsford, New York, United States</t>
  </si>
  <si>
    <t xml:space="preserve">https://www.linkedin.com/company/sutherland-global/insights/</t>
  </si>
  <si>
    <t xml:space="preserve">$8.4 billion</t>
  </si>
  <si>
    <t xml:space="preserve">Data Analytics Manager</t>
  </si>
  <si>
    <t xml:space="preserve">https://www.ambitionbox.com/salaries/sutherland-global-services-salaries/data-analytics-manager</t>
  </si>
  <si>
    <t xml:space="preserve">Jul / 01 / 2026</t>
  </si>
  <si>
    <t xml:space="preserve">Bain &amp; Company</t>
  </si>
  <si>
    <t xml:space="preserve">https://www.ambitionbox.com/reviews/bain-and-company-reviews</t>
  </si>
  <si>
    <t xml:space="preserve">https://www.bain.com/</t>
  </si>
  <si>
    <t xml:space="preserve">Boston, Massachusetts</t>
  </si>
  <si>
    <t xml:space="preserve">https://www.linkedin.com/company/bain-and-company/insights/</t>
  </si>
  <si>
    <t xml:space="preserve">$7.5 billion</t>
  </si>
  <si>
    <t xml:space="preserve">Data Science Manager</t>
  </si>
  <si>
    <t xml:space="preserve">https://www.ambitionbox.com/salaries/bain-and-company-salaries/data-science-manager</t>
  </si>
  <si>
    <t xml:space="preserve">Ernst &amp; Young (EY)</t>
  </si>
  <si>
    <t xml:space="preserve">https://www.ambitionbox.com/reviews/ernst-young-reviews</t>
  </si>
  <si>
    <t xml:space="preserve">https://www.ey.com/en_in</t>
  </si>
  <si>
    <t xml:space="preserve">London, England</t>
  </si>
  <si>
    <t xml:space="preserve">https://www.linkedin.com/company/ernstandyoung/insights/</t>
  </si>
  <si>
    <t xml:space="preserve">$53.2 billion</t>
  </si>
  <si>
    <t xml:space="preserve">https://www.ambitionbox.com/salaries/ernst-young-salaries/lead-data-scientist</t>
  </si>
  <si>
    <t xml:space="preserve">Jul / 02 / 2026</t>
  </si>
  <si>
    <t xml:space="preserve">Publicis Sapient</t>
  </si>
  <si>
    <t xml:space="preserve">https://www.ambitionbox.com/reviews/publicis-sapient-reviews</t>
  </si>
  <si>
    <t xml:space="preserve">https://careers.publicissapient.com/locations/india</t>
  </si>
  <si>
    <t xml:space="preserve">Digital Business Transformation</t>
  </si>
  <si>
    <t xml:space="preserve">https://www.linkedin.com/company/publicissapient/insights/</t>
  </si>
  <si>
    <t xml:space="preserve">$4.9 billion </t>
  </si>
  <si>
    <t xml:space="preserve">https://www.ambitionbox.com/salaries/publicis-sapient-salaries/lead-data-scientist</t>
  </si>
  <si>
    <t xml:space="preserve">Persistent Systems</t>
  </si>
  <si>
    <t xml:space="preserve">https://www.ambitionbox.com/reviews/persistent-systems-reviews</t>
  </si>
  <si>
    <t xml:space="preserve">https://www.persistent.com/</t>
  </si>
  <si>
    <t xml:space="preserve">Pune, Maharashtra, India</t>
  </si>
  <si>
    <t xml:space="preserve">https://www.linkedin.com/company/persistent-systems/</t>
  </si>
  <si>
    <t xml:space="preserve">$1.65 billion</t>
  </si>
  <si>
    <t xml:space="preserve">https://www.ambitionbox.com/salaries/persistent-systems-salaries/lead-data-scientist</t>
  </si>
  <si>
    <t xml:space="preserve">FloCareer</t>
  </si>
  <si>
    <t xml:space="preserve">https://www.ambitionbox.com/reviews/flocareer-reviews</t>
  </si>
  <si>
    <t xml:space="preserve">https://flocareer.com/</t>
  </si>
  <si>
    <t xml:space="preserve">Online Recruitment Platform</t>
  </si>
  <si>
    <t xml:space="preserve">Bangalore, Karnataka, India</t>
  </si>
  <si>
    <t xml:space="preserve">https://www.linkedin.com/company/flocareer/insights/</t>
  </si>
  <si>
    <t xml:space="preserve">$25.4 million</t>
  </si>
  <si>
    <t xml:space="preserve">Freelancer</t>
  </si>
  <si>
    <t xml:space="preserve">https://www.ambitionbox.com/salaries/flocareer-salaries/freelancer</t>
  </si>
  <si>
    <t xml:space="preserve">Quantlytix</t>
  </si>
  <si>
    <t xml:space="preserve">https://www.ambitionbox.com/overview/quantlytix-overview</t>
  </si>
  <si>
    <t xml:space="preserve">https://quantlytixsolutions.com/</t>
  </si>
  <si>
    <t xml:space="preserve">https://www.linkedin.com/company/quantlytix-pvt-ltd/insights/</t>
  </si>
  <si>
    <t xml:space="preserve">$0.092 million</t>
  </si>
  <si>
    <t xml:space="preserve">Lead Data Engineer</t>
  </si>
  <si>
    <t xml:space="preserve">https://www.ambitionbox.com/salaries/quantlytix-salaries/data-engineer</t>
  </si>
  <si>
    <t xml:space="preserve">Jul / 05 / 2026</t>
  </si>
  <si>
    <t xml:space="preserve">Eduedgepro</t>
  </si>
  <si>
    <t xml:space="preserve">https://www.ambitionbox.com/overview/eduedgepro-overview</t>
  </si>
  <si>
    <t xml:space="preserve">https://www.eduedgepro.com/</t>
  </si>
  <si>
    <t xml:space="preserve">Corporate Trainings</t>
  </si>
  <si>
    <t xml:space="preserve">Mumbai, Maharashtra, India</t>
  </si>
  <si>
    <t xml:space="preserve">https://www.linkedin.com/company/eduedge-global/</t>
  </si>
  <si>
    <t xml:space="preserve">$0.032 million</t>
  </si>
  <si>
    <t xml:space="preserve">https://www.glassdoor.co.in/Overview/Working-at-EduEdgePro-EI_IE1852098.11,21.htm</t>
  </si>
  <si>
    <t xml:space="preserve">https://www.linkedin.com/company/eduedge-global/insights/</t>
  </si>
  <si>
    <t xml:space="preserve">Zone IT Solutions</t>
  </si>
  <si>
    <t xml:space="preserve">https://www.ambitionbox.com/overview/zone-it-solutions-overview</t>
  </si>
  <si>
    <t xml:space="preserve">https://zoneitsolutions.com/</t>
  </si>
  <si>
    <t xml:space="preserve">Gurugram, Haryana, India</t>
  </si>
  <si>
    <t xml:space="preserve">https://www.linkedin.com/company/zoneitsolutions/insights/</t>
  </si>
  <si>
    <t xml:space="preserve">$28.1 million</t>
  </si>
  <si>
    <t xml:space="preserve">Jul / 07 / 2026</t>
  </si>
  <si>
    <t xml:space="preserve">Fractal Analytics</t>
  </si>
  <si>
    <t xml:space="preserve">https://www.ambitionbox.com/reviews/fractal-analytics-reviews</t>
  </si>
  <si>
    <t xml:space="preserve">https://fractal.ai/</t>
  </si>
  <si>
    <t xml:space="preserve">https://www.linkedin.com/company/fractal-analytics/insights/</t>
  </si>
  <si>
    <t xml:space="preserve">$347.4 million</t>
  </si>
  <si>
    <t xml:space="preserve">https://www.ambitionbox.com/salaries/fractal-analytics-salaries/lead-data-scientist</t>
  </si>
  <si>
    <t xml:space="preserve">Birlasoft</t>
  </si>
  <si>
    <t xml:space="preserve">https://www.ambitionbox.com/reviews/birlasoft-reviews</t>
  </si>
  <si>
    <t xml:space="preserve">https://www.birlasoft.com/</t>
  </si>
  <si>
    <t xml:space="preserve">https://www.linkedin.com/company/birlasoft/insights/</t>
  </si>
  <si>
    <t xml:space="preserve">$559.5 million</t>
  </si>
  <si>
    <t xml:space="preserve">https://www.ambitionbox.com/salaries/birlasoft-salaries/lead-data-scientist</t>
  </si>
  <si>
    <t xml:space="preserve">Hexaware Technologies</t>
  </si>
  <si>
    <t xml:space="preserve">https://www.ambitionbox.com/reviews/hexaware-technologies-reviews</t>
  </si>
  <si>
    <t xml:space="preserve">https://hexaware.com/</t>
  </si>
  <si>
    <t xml:space="preserve">BPO/KPO</t>
  </si>
  <si>
    <t xml:space="preserve">Navi Mumbai, Maharashtra, India</t>
  </si>
  <si>
    <t xml:space="preserve">https://www.linkedin.com/company/hexaware-technologies/insights/</t>
  </si>
  <si>
    <t xml:space="preserve">$1.5 billion</t>
  </si>
  <si>
    <t xml:space="preserve">https://www.ambitionbox.com/salaries/hexaware-technologies-salaries/lead-data-scientist</t>
  </si>
  <si>
    <t xml:space="preserve">Citicorp</t>
  </si>
  <si>
    <t xml:space="preserve">https://www.ambitionbox.com/reviews/citicorp-reviews</t>
  </si>
  <si>
    <t xml:space="preserve">https://www.citigroup.com/global</t>
  </si>
  <si>
    <t xml:space="preserve">Banking (Financial Services)</t>
  </si>
  <si>
    <t xml:space="preserve">https://www.linkedin.com/company/citi/insights/</t>
  </si>
  <si>
    <t xml:space="preserve">$85.2 billion</t>
  </si>
  <si>
    <t xml:space="preserve">https://www.ambitionbox.com/salaries/citicorp-salaries/lead-data-scientist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</si>
</sst>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inkedin.com/company/infosys/insights/" TargetMode="External"/><Relationship Id="rId2" Type="http://schemas.openxmlformats.org/officeDocument/2006/relationships/hyperlink" Target="https://www.linkedin.com/company/accenture/insights/" TargetMode="External"/><Relationship Id="rId3" Type="http://schemas.openxmlformats.org/officeDocument/2006/relationships/hyperlink" Target="https://www.linkedin.com/company/cognizant/insights/" TargetMode="External"/><Relationship Id="rId4" Type="http://schemas.openxmlformats.org/officeDocument/2006/relationships/hyperlink" Target="https://www.linkedin.com/company/nagarro/insights/" TargetMode="External"/><Relationship Id="rId5" Type="http://schemas.openxmlformats.org/officeDocument/2006/relationships/hyperlink" Target="https://www.linkedin.com/company/infosys/insights/" TargetMode="External"/><Relationship Id="rId6" Type="http://schemas.openxmlformats.org/officeDocument/2006/relationships/hyperlink" Target="https://www.linkedin.com/company/accenture/insights/" TargetMode="External"/><Relationship Id="rId7" Type="http://schemas.openxmlformats.org/officeDocument/2006/relationships/hyperlink" Target="https://www.linkedin.com/company/cognizant/insights/" TargetMode="External"/><Relationship Id="rId8" Type="http://schemas.openxmlformats.org/officeDocument/2006/relationships/hyperlink" Target="https://www.linkedin.com/company/nagarro/insight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E52" activePane="bottomLeft" state="frozen"/>
      <selection pane="topLeft" activeCell="A1" activeCellId="0" sqref="A1"/>
      <selection pane="bottomLeft" activeCell="AB77" activeCellId="0" sqref="AB7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.48"/>
    <col collapsed="false" customWidth="true" hidden="false" outlineLevel="0" max="2" min="2" style="1" width="18.27"/>
    <col collapsed="false" customWidth="true" hidden="false" outlineLevel="0" max="3" min="3" style="1" width="7.02"/>
    <col collapsed="false" customWidth="true" hidden="false" outlineLevel="0" max="5" min="5" style="1" width="5.56"/>
    <col collapsed="false" customWidth="true" hidden="false" outlineLevel="0" max="6" min="6" style="1" width="4.57"/>
    <col collapsed="false" customWidth="true" hidden="false" outlineLevel="0" max="7" min="7" style="1" width="6.04"/>
    <col collapsed="false" customWidth="true" hidden="false" outlineLevel="0" max="8" min="8" style="1" width="6.43"/>
    <col collapsed="false" customWidth="true" hidden="false" outlineLevel="0" max="9" min="9" style="1" width="5.22"/>
    <col collapsed="false" customWidth="true" hidden="false" outlineLevel="0" max="10" min="10" style="1" width="8.12"/>
    <col collapsed="false" customWidth="true" hidden="false" outlineLevel="0" max="11" min="11" style="1" width="7.81"/>
    <col collapsed="false" customWidth="true" hidden="false" outlineLevel="0" max="12" min="12" style="1" width="6.7"/>
    <col collapsed="false" customWidth="true" hidden="false" outlineLevel="0" max="13" min="13" style="1" width="7.81"/>
    <col collapsed="false" customWidth="true" hidden="false" outlineLevel="0" max="14" min="14" style="1" width="6.2"/>
    <col collapsed="false" customWidth="true" hidden="false" outlineLevel="0" max="15" min="15" style="1" width="6.59"/>
    <col collapsed="false" customWidth="true" hidden="false" outlineLevel="0" max="18" min="18" style="1" width="5.06"/>
    <col collapsed="false" customWidth="true" hidden="false" outlineLevel="0" max="20" min="20" style="1" width="5.82"/>
    <col collapsed="false" customWidth="true" hidden="false" outlineLevel="0" max="21" min="21" style="1" width="10.78"/>
    <col collapsed="false" customWidth="true" hidden="false" outlineLevel="0" max="22" min="22" style="1" width="16.26"/>
    <col collapsed="false" customWidth="true" hidden="false" outlineLevel="0" max="23" min="23" style="1" width="8.99"/>
    <col collapsed="false" customWidth="true" hidden="false" outlineLevel="0" max="24" min="24" style="1" width="3.43"/>
    <col collapsed="false" customWidth="true" hidden="false" outlineLevel="0" max="25" min="25" style="1" width="6.2"/>
    <col collapsed="false" customWidth="true" hidden="false" outlineLevel="0" max="26" min="26" style="1" width="5.56"/>
    <col collapsed="false" customWidth="true" hidden="false" outlineLevel="0" max="27" min="27" style="1" width="4.4"/>
    <col collapsed="false" customWidth="true" hidden="false" outlineLevel="0" max="29" min="29" style="0" width="5.39"/>
    <col collapsed="false" customWidth="true" hidden="false" outlineLevel="0" max="30" min="30" style="0" width="5.06"/>
    <col collapsed="false" customWidth="true" hidden="false" outlineLevel="0" max="31" min="31" style="0" width="5.88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customFormat="false" ht="15" hidden="false" customHeight="false" outlineLevel="0" collapsed="false">
      <c r="A2" s="1" t="s">
        <v>31</v>
      </c>
      <c r="B2" s="1" t="s">
        <v>32</v>
      </c>
      <c r="C2" s="1" t="n">
        <v>2.8</v>
      </c>
      <c r="D2" s="1" t="n">
        <v>748</v>
      </c>
      <c r="E2" s="1" t="n">
        <v>-22</v>
      </c>
      <c r="F2" s="1" t="n">
        <f aca="false">ROUND((C2-AVERAGE(C2:C200))/AVERAGE(C2:C200) * 100,0)</f>
        <v>-24</v>
      </c>
      <c r="G2" s="1" t="s">
        <v>33</v>
      </c>
      <c r="H2" s="1" t="n">
        <v>2.6</v>
      </c>
      <c r="I2" s="1" t="n">
        <v>2.9</v>
      </c>
      <c r="J2" s="1" t="n">
        <v>2.6</v>
      </c>
      <c r="K2" s="1" t="n">
        <v>2.5</v>
      </c>
      <c r="L2" s="1" t="n">
        <v>2.7</v>
      </c>
      <c r="M2" s="1" t="n">
        <v>2.9</v>
      </c>
      <c r="N2" s="1" t="n">
        <v>2.6</v>
      </c>
      <c r="O2" s="1" t="n">
        <v>2010</v>
      </c>
      <c r="P2" s="1" t="n">
        <v>3600</v>
      </c>
      <c r="Q2" s="1" t="n">
        <v>3600</v>
      </c>
      <c r="R2" s="1" t="s">
        <v>34</v>
      </c>
      <c r="S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n">
        <v>24.5</v>
      </c>
      <c r="Z2" s="1" t="s">
        <v>40</v>
      </c>
      <c r="AA2" s="1" t="n">
        <v>13</v>
      </c>
      <c r="AB2" s="1" t="n">
        <v>3.9</v>
      </c>
      <c r="AC2" s="0" t="n">
        <v>0</v>
      </c>
      <c r="AD2" s="0" t="n">
        <v>1</v>
      </c>
      <c r="AE2" s="0" t="n">
        <v>0</v>
      </c>
    </row>
    <row r="3" customFormat="false" ht="16.4" hidden="false" customHeight="false" outlineLevel="0" collapsed="false">
      <c r="A3" s="1" t="s">
        <v>31</v>
      </c>
      <c r="B3" s="1" t="s">
        <v>41</v>
      </c>
      <c r="C3" s="1" t="n">
        <v>3.5</v>
      </c>
      <c r="D3" s="1" t="n">
        <v>47300</v>
      </c>
      <c r="E3" s="1" t="n">
        <v>-3</v>
      </c>
      <c r="F3" s="1" t="n">
        <f aca="false">ROUND((C3-AVERAGE(C2:C201))/AVERAGE(C2:C201) * 100,0)</f>
        <v>-4</v>
      </c>
      <c r="G3" s="1" t="s">
        <v>42</v>
      </c>
      <c r="H3" s="1" t="n">
        <v>3.6</v>
      </c>
      <c r="I3" s="1" t="n">
        <v>2.7</v>
      </c>
      <c r="J3" s="1" t="n">
        <v>3.6</v>
      </c>
      <c r="K3" s="1" t="n">
        <v>3.3</v>
      </c>
      <c r="L3" s="1" t="n">
        <v>3.5</v>
      </c>
      <c r="M3" s="1" t="n">
        <v>3.9</v>
      </c>
      <c r="N3" s="1" t="n">
        <v>2.6</v>
      </c>
      <c r="O3" s="1" t="n">
        <v>1981</v>
      </c>
      <c r="P3" s="1" t="n">
        <v>100000</v>
      </c>
      <c r="Q3" s="1" t="n">
        <v>100000</v>
      </c>
      <c r="R3" s="1" t="s">
        <v>43</v>
      </c>
      <c r="S3" s="1" t="s">
        <v>44</v>
      </c>
      <c r="V3" s="1" t="s">
        <v>45</v>
      </c>
      <c r="W3" s="1" t="s">
        <v>46</v>
      </c>
      <c r="X3" s="1" t="s">
        <v>39</v>
      </c>
      <c r="Y3" s="1" t="n">
        <v>24.3</v>
      </c>
      <c r="Z3" s="1" t="s">
        <v>47</v>
      </c>
      <c r="AA3" s="1" t="n">
        <v>13</v>
      </c>
      <c r="AB3" s="1" t="n">
        <v>4.2</v>
      </c>
      <c r="AC3" s="0" t="n">
        <v>0</v>
      </c>
      <c r="AD3" s="0" t="n">
        <v>5</v>
      </c>
      <c r="AE3" s="0" t="n">
        <v>14</v>
      </c>
    </row>
    <row r="4" customFormat="false" ht="16.4" hidden="false" customHeight="false" outlineLevel="0" collapsed="false">
      <c r="A4" s="1" t="s">
        <v>31</v>
      </c>
      <c r="B4" s="1" t="s">
        <v>48</v>
      </c>
      <c r="C4" s="1" t="n">
        <v>3.7</v>
      </c>
      <c r="D4" s="1" t="n">
        <v>71100</v>
      </c>
      <c r="E4" s="1" t="n">
        <v>3</v>
      </c>
      <c r="F4" s="1" t="n">
        <f aca="false">ROUND((C4-AVERAGE(C2:C202))/AVERAGE(C2:C202) * 100,0)</f>
        <v>1</v>
      </c>
      <c r="G4" s="1" t="s">
        <v>49</v>
      </c>
      <c r="H4" s="1" t="n">
        <v>3.7</v>
      </c>
      <c r="I4" s="1" t="n">
        <v>3.2</v>
      </c>
      <c r="J4" s="1" t="n">
        <v>3.6</v>
      </c>
      <c r="K4" s="1" t="n">
        <v>3.4</v>
      </c>
      <c r="L4" s="1" t="n">
        <v>3.6</v>
      </c>
      <c r="M4" s="1" t="n">
        <v>3.6</v>
      </c>
      <c r="N4" s="1" t="n">
        <v>2.8</v>
      </c>
      <c r="O4" s="1" t="n">
        <v>1989</v>
      </c>
      <c r="P4" s="1" t="n">
        <v>300000</v>
      </c>
      <c r="Q4" s="1" t="n">
        <v>799000</v>
      </c>
      <c r="R4" s="1" t="s">
        <v>50</v>
      </c>
      <c r="S4" s="1" t="s">
        <v>44</v>
      </c>
      <c r="T4" s="1" t="s">
        <v>51</v>
      </c>
      <c r="V4" s="1" t="s">
        <v>52</v>
      </c>
      <c r="W4" s="1" t="s">
        <v>53</v>
      </c>
      <c r="X4" s="1" t="s">
        <v>54</v>
      </c>
      <c r="Y4" s="1" t="n">
        <v>26.9</v>
      </c>
      <c r="Z4" s="1" t="s">
        <v>55</v>
      </c>
      <c r="AA4" s="1" t="n">
        <v>13</v>
      </c>
      <c r="AB4" s="1" t="n">
        <v>4</v>
      </c>
      <c r="AC4" s="0" t="n">
        <v>3</v>
      </c>
      <c r="AD4" s="0" t="n">
        <v>6</v>
      </c>
      <c r="AE4" s="0" t="n">
        <v>12</v>
      </c>
    </row>
    <row r="5" customFormat="false" ht="16.4" hidden="false" customHeight="false" outlineLevel="0" collapsed="false">
      <c r="A5" s="1" t="s">
        <v>31</v>
      </c>
      <c r="B5" s="1" t="s">
        <v>56</v>
      </c>
      <c r="C5" s="1" t="n">
        <v>3.6</v>
      </c>
      <c r="D5" s="1" t="n">
        <v>59900</v>
      </c>
      <c r="E5" s="1" t="n">
        <v>0</v>
      </c>
      <c r="F5" s="1" t="n">
        <f aca="false">ROUND((C5-AVERAGE(C2:C203))/AVERAGE(C2:C203) * 100,0)</f>
        <v>-2</v>
      </c>
      <c r="G5" s="1" t="s">
        <v>57</v>
      </c>
      <c r="H5" s="1" t="n">
        <v>3.5</v>
      </c>
      <c r="I5" s="1" t="n">
        <v>3.2</v>
      </c>
      <c r="J5" s="1" t="n">
        <v>3.6</v>
      </c>
      <c r="K5" s="1" t="n">
        <v>3.4</v>
      </c>
      <c r="L5" s="1" t="n">
        <v>3.6</v>
      </c>
      <c r="M5" s="1" t="n">
        <v>3.6</v>
      </c>
      <c r="N5" s="1" t="n">
        <v>2.9</v>
      </c>
      <c r="O5" s="1" t="n">
        <v>1994</v>
      </c>
      <c r="P5" s="1" t="n">
        <v>256000</v>
      </c>
      <c r="Q5" s="1" t="n">
        <v>357600</v>
      </c>
      <c r="R5" s="1" t="s">
        <v>58</v>
      </c>
      <c r="S5" s="1" t="s">
        <v>44</v>
      </c>
      <c r="T5" s="1" t="s">
        <v>59</v>
      </c>
      <c r="V5" s="1" t="s">
        <v>60</v>
      </c>
      <c r="W5" s="1" t="s">
        <v>61</v>
      </c>
      <c r="X5" s="1" t="s">
        <v>39</v>
      </c>
      <c r="Y5" s="1" t="n">
        <v>28.3</v>
      </c>
      <c r="Z5" s="1" t="s">
        <v>62</v>
      </c>
      <c r="AA5" s="1" t="n">
        <v>13</v>
      </c>
      <c r="AB5" s="1" t="n">
        <v>4.3</v>
      </c>
      <c r="AC5" s="0" t="n">
        <v>1</v>
      </c>
      <c r="AD5" s="0" t="n">
        <v>3</v>
      </c>
      <c r="AE5" s="0" t="n">
        <v>9</v>
      </c>
    </row>
    <row r="6" customFormat="false" ht="16.4" hidden="false" customHeight="false" outlineLevel="0" collapsed="false">
      <c r="A6" s="1" t="s">
        <v>31</v>
      </c>
      <c r="B6" s="1" t="s">
        <v>63</v>
      </c>
      <c r="C6" s="1" t="n">
        <v>3.9</v>
      </c>
      <c r="D6" s="1" t="n">
        <v>4700</v>
      </c>
      <c r="E6" s="1" t="n">
        <v>8</v>
      </c>
      <c r="F6" s="1" t="n">
        <f aca="false">ROUND((C6-AVERAGE(C2:C204))/AVERAGE(C2:C204) * 100,0)</f>
        <v>6</v>
      </c>
      <c r="G6" s="1" t="s">
        <v>64</v>
      </c>
      <c r="H6" s="1" t="n">
        <v>3.9</v>
      </c>
      <c r="I6" s="1" t="n">
        <v>3.7</v>
      </c>
      <c r="J6" s="1" t="n">
        <v>3.6</v>
      </c>
      <c r="K6" s="1" t="n">
        <v>3.6</v>
      </c>
      <c r="L6" s="1" t="n">
        <v>3.7</v>
      </c>
      <c r="M6" s="1" t="n">
        <v>3.6</v>
      </c>
      <c r="N6" s="1" t="n">
        <v>3.3</v>
      </c>
      <c r="O6" s="1" t="n">
        <v>1996</v>
      </c>
      <c r="P6" s="1" t="n">
        <v>13000</v>
      </c>
      <c r="Q6" s="1" t="n">
        <v>18500</v>
      </c>
      <c r="R6" s="1" t="s">
        <v>65</v>
      </c>
      <c r="S6" s="1" t="s">
        <v>44</v>
      </c>
      <c r="T6" s="1" t="s">
        <v>66</v>
      </c>
      <c r="V6" s="1" t="s">
        <v>67</v>
      </c>
      <c r="W6" s="1" t="s">
        <v>68</v>
      </c>
      <c r="X6" s="1" t="s">
        <v>39</v>
      </c>
      <c r="Y6" s="1" t="n">
        <v>39.6</v>
      </c>
      <c r="Z6" s="1" t="s">
        <v>69</v>
      </c>
      <c r="AA6" s="1" t="n">
        <v>13</v>
      </c>
      <c r="AB6" s="1" t="n">
        <v>3.8</v>
      </c>
      <c r="AC6" s="0" t="n">
        <v>3</v>
      </c>
      <c r="AD6" s="0" t="n">
        <v>6</v>
      </c>
      <c r="AE6" s="0" t="n">
        <v>10</v>
      </c>
    </row>
    <row r="7" customFormat="false" ht="15" hidden="false" customHeight="false" outlineLevel="0" collapsed="false">
      <c r="A7" s="1" t="s">
        <v>31</v>
      </c>
      <c r="B7" s="1" t="s">
        <v>70</v>
      </c>
      <c r="C7" s="1" t="n">
        <v>4.1</v>
      </c>
      <c r="D7" s="1" t="n">
        <v>3800</v>
      </c>
      <c r="E7" s="1" t="n">
        <v>11</v>
      </c>
      <c r="F7" s="1" t="n">
        <f aca="false">ROUND((C7-AVERAGE(C2:C205))/AVERAGE(C2:C205) * 100,0)</f>
        <v>12</v>
      </c>
      <c r="G7" s="1" t="s">
        <v>71</v>
      </c>
      <c r="H7" s="1" t="n">
        <v>4.1</v>
      </c>
      <c r="I7" s="1" t="n">
        <v>4</v>
      </c>
      <c r="J7" s="1" t="n">
        <v>4.1</v>
      </c>
      <c r="K7" s="1" t="n">
        <v>3.8</v>
      </c>
      <c r="L7" s="1" t="n">
        <v>3.7</v>
      </c>
      <c r="M7" s="1" t="n">
        <v>4</v>
      </c>
      <c r="N7" s="1" t="n">
        <v>3.3</v>
      </c>
      <c r="O7" s="1" t="n">
        <v>1850</v>
      </c>
      <c r="P7" s="1" t="n">
        <v>15000</v>
      </c>
      <c r="Q7" s="1" t="n">
        <v>76800</v>
      </c>
      <c r="R7" s="1" t="s">
        <v>72</v>
      </c>
      <c r="S7" s="1" t="s">
        <v>73</v>
      </c>
      <c r="T7" s="1" t="s">
        <v>74</v>
      </c>
      <c r="V7" s="1" t="s">
        <v>75</v>
      </c>
      <c r="W7" s="1" t="s">
        <v>76</v>
      </c>
      <c r="X7" s="1" t="s">
        <v>39</v>
      </c>
      <c r="Y7" s="1" t="n">
        <v>49.8</v>
      </c>
      <c r="Z7" s="3" t="s">
        <v>77</v>
      </c>
      <c r="AA7" s="1" t="n">
        <v>13</v>
      </c>
      <c r="AB7" s="1" t="n">
        <v>4.3</v>
      </c>
      <c r="AC7" s="0" t="n">
        <v>14</v>
      </c>
      <c r="AD7" s="0" t="n">
        <v>20</v>
      </c>
      <c r="AE7" s="0" t="n">
        <v>28</v>
      </c>
    </row>
    <row r="8" customFormat="false" ht="15" hidden="false" customHeight="false" outlineLevel="0" collapsed="false">
      <c r="A8" s="1" t="s">
        <v>78</v>
      </c>
      <c r="B8" s="1" t="s">
        <v>79</v>
      </c>
      <c r="C8" s="1" t="n">
        <v>4.1</v>
      </c>
      <c r="D8" s="1" t="n">
        <v>534</v>
      </c>
      <c r="E8" s="1" t="n">
        <v>14</v>
      </c>
      <c r="F8" s="1" t="n">
        <f aca="false">ROUND((C8-AVERAGE(C2:C206))/AVERAGE(C2:C206) * 100,0)</f>
        <v>12</v>
      </c>
      <c r="G8" s="1" t="s">
        <v>80</v>
      </c>
      <c r="H8" s="1" t="n">
        <v>4.1</v>
      </c>
      <c r="I8" s="1" t="n">
        <v>3.9</v>
      </c>
      <c r="J8" s="1" t="n">
        <v>4.1</v>
      </c>
      <c r="K8" s="1" t="n">
        <v>3.8</v>
      </c>
      <c r="L8" s="1" t="n">
        <v>3.7</v>
      </c>
      <c r="M8" s="1" t="n">
        <v>3.9</v>
      </c>
      <c r="N8" s="1" t="n">
        <v>3.6</v>
      </c>
      <c r="O8" s="1" t="n">
        <v>2004</v>
      </c>
      <c r="P8" s="1" t="n">
        <v>5000</v>
      </c>
      <c r="Q8" s="1" t="n">
        <v>5000</v>
      </c>
      <c r="R8" s="1" t="s">
        <v>81</v>
      </c>
      <c r="S8" s="1" t="s">
        <v>44</v>
      </c>
      <c r="V8" s="1" t="s">
        <v>82</v>
      </c>
      <c r="W8" s="1" t="s">
        <v>83</v>
      </c>
      <c r="X8" s="1" t="s">
        <v>39</v>
      </c>
      <c r="Y8" s="1" t="n">
        <v>31.4</v>
      </c>
      <c r="Z8" s="3" t="s">
        <v>84</v>
      </c>
      <c r="AA8" s="1" t="n">
        <v>13</v>
      </c>
      <c r="AB8" s="1" t="n">
        <v>2.9</v>
      </c>
      <c r="AC8" s="0" t="n">
        <v>9</v>
      </c>
      <c r="AD8" s="0" t="n">
        <v>21</v>
      </c>
      <c r="AE8" s="0" t="n">
        <v>44</v>
      </c>
    </row>
    <row r="9" customFormat="false" ht="15" hidden="false" customHeight="false" outlineLevel="0" collapsed="false">
      <c r="A9" s="1" t="s">
        <v>85</v>
      </c>
      <c r="B9" s="1" t="s">
        <v>86</v>
      </c>
      <c r="C9" s="1" t="n">
        <v>3.7</v>
      </c>
      <c r="D9" s="1" t="n">
        <v>148</v>
      </c>
      <c r="E9" s="1" t="n">
        <v>0</v>
      </c>
      <c r="F9" s="1" t="n">
        <f aca="false">ROUND((C9-AVERAGE(C2:C207))/AVERAGE(C2:C207) * 100,0)</f>
        <v>1</v>
      </c>
      <c r="G9" s="1" t="s">
        <v>87</v>
      </c>
      <c r="H9" s="1" t="n">
        <v>3.6</v>
      </c>
      <c r="I9" s="1" t="n">
        <v>3.3</v>
      </c>
      <c r="J9" s="1" t="n">
        <v>4</v>
      </c>
      <c r="K9" s="1" t="n">
        <v>3.4</v>
      </c>
      <c r="L9" s="1" t="n">
        <v>3.8</v>
      </c>
      <c r="M9" s="1" t="n">
        <v>3.7</v>
      </c>
      <c r="N9" s="1" t="n">
        <v>2.7</v>
      </c>
      <c r="O9" s="1" t="n">
        <v>1991</v>
      </c>
      <c r="P9" s="1" t="n">
        <v>50000</v>
      </c>
      <c r="Q9" s="1" t="n">
        <v>160000</v>
      </c>
      <c r="R9" s="1" t="s">
        <v>88</v>
      </c>
      <c r="S9" s="1" t="s">
        <v>44</v>
      </c>
      <c r="V9" s="1" t="s">
        <v>89</v>
      </c>
      <c r="W9" s="1" t="s">
        <v>90</v>
      </c>
      <c r="X9" s="1" t="s">
        <v>39</v>
      </c>
      <c r="Y9" s="1" t="n">
        <v>47.3</v>
      </c>
      <c r="Z9" s="3" t="s">
        <v>91</v>
      </c>
      <c r="AA9" s="1" t="n">
        <v>13</v>
      </c>
      <c r="AB9" s="1" t="n">
        <v>5.7</v>
      </c>
      <c r="AC9" s="0" t="n">
        <v>8</v>
      </c>
      <c r="AD9" s="0" t="n">
        <v>9</v>
      </c>
      <c r="AE9" s="0" t="n">
        <v>10</v>
      </c>
    </row>
    <row r="10" customFormat="false" ht="15" hidden="false" customHeight="false" outlineLevel="0" collapsed="false">
      <c r="A10" s="1" t="s">
        <v>85</v>
      </c>
      <c r="B10" s="1" t="s">
        <v>92</v>
      </c>
      <c r="C10" s="1" t="n">
        <v>3.9</v>
      </c>
      <c r="D10" s="1" t="n">
        <v>25300</v>
      </c>
      <c r="E10" s="1" t="n">
        <v>8</v>
      </c>
      <c r="F10" s="1" t="n">
        <f aca="false">ROUND((C10-AVERAGE(C2:C208))/AVERAGE(C2:C208) * 100,0)</f>
        <v>6</v>
      </c>
      <c r="G10" s="1" t="s">
        <v>93</v>
      </c>
      <c r="H10" s="1" t="n">
        <v>3.9</v>
      </c>
      <c r="I10" s="1" t="n">
        <v>3.5</v>
      </c>
      <c r="J10" s="1" t="n">
        <v>4</v>
      </c>
      <c r="K10" s="1" t="n">
        <v>3.6</v>
      </c>
      <c r="L10" s="1" t="n">
        <v>3.9</v>
      </c>
      <c r="M10" s="1" t="n">
        <v>3.9</v>
      </c>
      <c r="N10" s="1" t="n">
        <v>3</v>
      </c>
      <c r="O10" s="1" t="n">
        <v>1911</v>
      </c>
      <c r="P10" s="1" t="n">
        <v>135000</v>
      </c>
      <c r="Q10" s="1" t="n">
        <v>268000</v>
      </c>
      <c r="R10" s="1" t="s">
        <v>88</v>
      </c>
      <c r="S10" s="1" t="s">
        <v>44</v>
      </c>
      <c r="T10" s="1" t="s">
        <v>73</v>
      </c>
      <c r="V10" s="1" t="s">
        <v>89</v>
      </c>
      <c r="W10" s="1" t="s">
        <v>94</v>
      </c>
      <c r="X10" s="1" t="s">
        <v>39</v>
      </c>
      <c r="Y10" s="1" t="n">
        <v>35.2</v>
      </c>
      <c r="Z10" s="3" t="s">
        <v>95</v>
      </c>
      <c r="AA10" s="1" t="n">
        <v>13</v>
      </c>
      <c r="AB10" s="1" t="n">
        <v>5.7</v>
      </c>
      <c r="AC10" s="0" t="n">
        <v>8</v>
      </c>
      <c r="AD10" s="0" t="n">
        <v>9</v>
      </c>
      <c r="AE10" s="0" t="n">
        <v>10</v>
      </c>
    </row>
    <row r="11" customFormat="false" ht="15" hidden="false" customHeight="false" outlineLevel="0" collapsed="false">
      <c r="A11" s="1" t="s">
        <v>96</v>
      </c>
      <c r="B11" s="1" t="s">
        <v>97</v>
      </c>
      <c r="C11" s="1" t="n">
        <v>3.1</v>
      </c>
      <c r="D11" s="1" t="n">
        <v>2800</v>
      </c>
      <c r="E11" s="1" t="n">
        <v>-14</v>
      </c>
      <c r="F11" s="1" t="n">
        <f aca="false">ROUND((C11-AVERAGE(C2:C209))/AVERAGE(C2:C209) * 100,0)</f>
        <v>-15</v>
      </c>
      <c r="G11" s="1" t="s">
        <v>98</v>
      </c>
      <c r="H11" s="1" t="n">
        <v>3.1</v>
      </c>
      <c r="I11" s="1" t="n">
        <v>3.6</v>
      </c>
      <c r="J11" s="1" t="n">
        <v>2</v>
      </c>
      <c r="K11" s="1" t="n">
        <v>2.7</v>
      </c>
      <c r="L11" s="1" t="n">
        <v>3.1</v>
      </c>
      <c r="M11" s="1" t="n">
        <v>3.2</v>
      </c>
      <c r="N11" s="1" t="n">
        <v>3</v>
      </c>
      <c r="O11" s="1" t="n">
        <v>1983</v>
      </c>
      <c r="P11" s="1" t="n">
        <v>10400</v>
      </c>
      <c r="Q11" s="1" t="n">
        <v>15000</v>
      </c>
      <c r="R11" s="1" t="s">
        <v>99</v>
      </c>
      <c r="S11" s="1" t="s">
        <v>100</v>
      </c>
      <c r="T11" s="1" t="s">
        <v>44</v>
      </c>
      <c r="V11" s="1" t="s">
        <v>101</v>
      </c>
      <c r="W11" s="1" t="s">
        <v>102</v>
      </c>
      <c r="X11" s="1" t="s">
        <v>39</v>
      </c>
      <c r="Y11" s="1" t="n">
        <v>46.3</v>
      </c>
      <c r="Z11" s="3" t="s">
        <v>103</v>
      </c>
      <c r="AA11" s="1" t="n">
        <v>13</v>
      </c>
      <c r="AB11" s="1" t="n">
        <v>1.8</v>
      </c>
      <c r="AC11" s="0" t="n">
        <v>4</v>
      </c>
      <c r="AD11" s="0" t="n">
        <v>32</v>
      </c>
      <c r="AE11" s="0" t="n">
        <v>53</v>
      </c>
    </row>
    <row r="12" customFormat="false" ht="15" hidden="false" customHeight="false" outlineLevel="0" collapsed="false">
      <c r="A12" s="1" t="s">
        <v>96</v>
      </c>
      <c r="B12" s="1" t="s">
        <v>104</v>
      </c>
      <c r="C12" s="1" t="n">
        <v>3.3</v>
      </c>
      <c r="D12" s="1" t="n">
        <v>120000</v>
      </c>
      <c r="E12" s="1" t="n">
        <v>-8</v>
      </c>
      <c r="F12" s="1" t="n">
        <f aca="false">ROUND((C12-AVERAGE(C2:C210))/AVERAGE(C2:C210) * 100,0)</f>
        <v>-10</v>
      </c>
      <c r="G12" s="1" t="s">
        <v>105</v>
      </c>
      <c r="H12" s="1" t="n">
        <v>3.2</v>
      </c>
      <c r="I12" s="1" t="n">
        <v>2.4</v>
      </c>
      <c r="J12" s="1" t="n">
        <v>3.5</v>
      </c>
      <c r="K12" s="1" t="n">
        <v>3</v>
      </c>
      <c r="L12" s="1" t="n">
        <v>3.2</v>
      </c>
      <c r="M12" s="1" t="n">
        <v>3.8</v>
      </c>
      <c r="N12" s="1" t="n">
        <v>2.3</v>
      </c>
      <c r="O12" s="1" t="n">
        <v>1968</v>
      </c>
      <c r="P12" s="1" t="n">
        <v>550000</v>
      </c>
      <c r="Q12" s="1" t="n">
        <v>584519</v>
      </c>
      <c r="R12" s="1" t="s">
        <v>106</v>
      </c>
      <c r="S12" s="1" t="s">
        <v>44</v>
      </c>
      <c r="T12" s="1" t="s">
        <v>73</v>
      </c>
      <c r="V12" s="1" t="s">
        <v>107</v>
      </c>
      <c r="W12" s="1" t="s">
        <v>108</v>
      </c>
      <c r="X12" s="1" t="s">
        <v>39</v>
      </c>
      <c r="Y12" s="1" t="n">
        <v>24.3</v>
      </c>
      <c r="Z12" s="3" t="s">
        <v>109</v>
      </c>
      <c r="AA12" s="1" t="n">
        <v>13</v>
      </c>
      <c r="AB12" s="1" t="n">
        <v>4.4</v>
      </c>
      <c r="AC12" s="0" t="n">
        <v>2</v>
      </c>
      <c r="AD12" s="0" t="n">
        <v>3</v>
      </c>
      <c r="AE12" s="0" t="n">
        <v>8</v>
      </c>
    </row>
    <row r="13" customFormat="false" ht="15" hidden="false" customHeight="false" outlineLevel="0" collapsed="false">
      <c r="A13" s="1" t="s">
        <v>96</v>
      </c>
      <c r="B13" s="1" t="s">
        <v>110</v>
      </c>
      <c r="C13" s="1" t="n">
        <v>3.4</v>
      </c>
      <c r="D13" s="1" t="n">
        <v>46500</v>
      </c>
      <c r="E13" s="1" t="n">
        <v>-6</v>
      </c>
      <c r="F13" s="1" t="n">
        <f aca="false">ROUND((C13-AVERAGE(C2:C211))/AVERAGE(C2:C211) * 100,0)</f>
        <v>-7</v>
      </c>
      <c r="G13" s="1" t="s">
        <v>111</v>
      </c>
      <c r="H13" s="1" t="n">
        <v>3.3</v>
      </c>
      <c r="I13" s="1" t="n">
        <v>2.8</v>
      </c>
      <c r="J13" s="1" t="n">
        <v>3.5</v>
      </c>
      <c r="K13" s="1" t="n">
        <v>3.2</v>
      </c>
      <c r="L13" s="1" t="n">
        <v>3.2</v>
      </c>
      <c r="M13" s="1" t="n">
        <v>3.6</v>
      </c>
      <c r="N13" s="1" t="n">
        <v>2.5</v>
      </c>
      <c r="O13" s="1" t="n">
        <v>1991</v>
      </c>
      <c r="P13" s="1" t="n">
        <v>180000</v>
      </c>
      <c r="Q13" s="1" t="n">
        <v>227181</v>
      </c>
      <c r="R13" s="1" t="s">
        <v>112</v>
      </c>
      <c r="S13" s="1" t="s">
        <v>44</v>
      </c>
      <c r="T13" s="1" t="s">
        <v>113</v>
      </c>
      <c r="V13" s="1" t="s">
        <v>114</v>
      </c>
      <c r="W13" s="1" t="s">
        <v>115</v>
      </c>
      <c r="X13" s="1" t="s">
        <v>39</v>
      </c>
      <c r="Y13" s="1" t="n">
        <v>26.4</v>
      </c>
      <c r="Z13" s="3" t="s">
        <v>116</v>
      </c>
      <c r="AA13" s="1" t="n">
        <v>13</v>
      </c>
      <c r="AB13" s="1" t="n">
        <v>4</v>
      </c>
      <c r="AC13" s="0" t="n">
        <v>2</v>
      </c>
      <c r="AD13" s="0" t="n">
        <v>5</v>
      </c>
      <c r="AE13" s="0" t="n">
        <v>12</v>
      </c>
    </row>
    <row r="14" customFormat="false" ht="15" hidden="false" customHeight="false" outlineLevel="0" collapsed="false">
      <c r="A14" s="1" t="s">
        <v>117</v>
      </c>
      <c r="B14" s="1" t="s">
        <v>118</v>
      </c>
      <c r="C14" s="1" t="n">
        <v>3.4</v>
      </c>
      <c r="D14" s="1" t="n">
        <v>7400</v>
      </c>
      <c r="E14" s="1" t="n">
        <v>-6</v>
      </c>
      <c r="F14" s="1" t="n">
        <f aca="false">ROUND((C14-AVERAGE(C2:C213))/AVERAGE(C2:C213) * 100,0)</f>
        <v>-7</v>
      </c>
      <c r="G14" s="1" t="s">
        <v>119</v>
      </c>
      <c r="H14" s="1" t="n">
        <v>3.3</v>
      </c>
      <c r="I14" s="1" t="n">
        <v>3.2</v>
      </c>
      <c r="J14" s="1" t="n">
        <v>3.1</v>
      </c>
      <c r="K14" s="1" t="n">
        <v>3.1</v>
      </c>
      <c r="L14" s="1" t="n">
        <v>3.3</v>
      </c>
      <c r="M14" s="1" t="n">
        <v>3.5</v>
      </c>
      <c r="N14" s="1" t="n">
        <v>2.9</v>
      </c>
      <c r="O14" s="1" t="n">
        <v>1993</v>
      </c>
      <c r="P14" s="1" t="n">
        <v>31000</v>
      </c>
      <c r="Q14" s="1" t="n">
        <v>275000</v>
      </c>
      <c r="R14" s="1" t="s">
        <v>120</v>
      </c>
      <c r="S14" s="1" t="s">
        <v>100</v>
      </c>
      <c r="T14" s="1" t="s">
        <v>44</v>
      </c>
      <c r="V14" s="1" t="s">
        <v>121</v>
      </c>
      <c r="W14" s="1" t="s">
        <v>122</v>
      </c>
      <c r="X14" s="1" t="s">
        <v>39</v>
      </c>
      <c r="Y14" s="1" t="n">
        <v>27.6</v>
      </c>
      <c r="Z14" s="3" t="s">
        <v>123</v>
      </c>
      <c r="AA14" s="1" t="n">
        <v>13</v>
      </c>
      <c r="AB14" s="1" t="n">
        <v>3</v>
      </c>
      <c r="AC14" s="0" t="n">
        <v>2</v>
      </c>
      <c r="AD14" s="0" t="n">
        <v>6</v>
      </c>
      <c r="AE14" s="0" t="n">
        <v>13</v>
      </c>
    </row>
    <row r="15" customFormat="false" ht="15" hidden="false" customHeight="false" outlineLevel="0" collapsed="false">
      <c r="A15" s="1" t="s">
        <v>117</v>
      </c>
      <c r="B15" s="1" t="s">
        <v>124</v>
      </c>
      <c r="C15" s="1" t="n">
        <v>3.3</v>
      </c>
      <c r="D15" s="1" t="n">
        <v>12900</v>
      </c>
      <c r="E15" s="1" t="n">
        <v>-8</v>
      </c>
      <c r="F15" s="1" t="n">
        <f aca="false">ROUND((C15-AVERAGE(C2:C214))/AVERAGE(C2:C214) * 100,0)</f>
        <v>-10</v>
      </c>
      <c r="G15" s="1" t="s">
        <v>125</v>
      </c>
      <c r="H15" s="1" t="n">
        <v>3.2</v>
      </c>
      <c r="I15" s="1" t="n">
        <v>3.3</v>
      </c>
      <c r="J15" s="1" t="n">
        <v>3</v>
      </c>
      <c r="K15" s="1" t="n">
        <v>3</v>
      </c>
      <c r="L15" s="1" t="n">
        <v>3.4</v>
      </c>
      <c r="M15" s="1" t="n">
        <v>3.4</v>
      </c>
      <c r="N15" s="1" t="n">
        <v>2.8</v>
      </c>
      <c r="O15" s="1" t="n">
        <v>1880</v>
      </c>
      <c r="P15" s="1" t="n">
        <v>30000</v>
      </c>
      <c r="Q15" s="1" t="n">
        <v>370000</v>
      </c>
      <c r="R15" s="1" t="s">
        <v>126</v>
      </c>
      <c r="S15" s="1" t="s">
        <v>100</v>
      </c>
      <c r="T15" s="1" t="s">
        <v>127</v>
      </c>
      <c r="V15" s="1" t="s">
        <v>128</v>
      </c>
      <c r="W15" s="1" t="s">
        <v>129</v>
      </c>
      <c r="X15" s="1" t="s">
        <v>39</v>
      </c>
      <c r="Y15" s="1" t="n">
        <v>43.4</v>
      </c>
      <c r="Z15" s="3" t="s">
        <v>130</v>
      </c>
      <c r="AA15" s="1" t="n">
        <v>13</v>
      </c>
      <c r="AB15" s="1" t="n">
        <v>3.9</v>
      </c>
      <c r="AC15" s="0" t="n">
        <v>1</v>
      </c>
      <c r="AD15" s="0" t="n">
        <v>6</v>
      </c>
      <c r="AE15" s="0" t="n">
        <v>9</v>
      </c>
    </row>
    <row r="16" customFormat="false" ht="15" hidden="false" customHeight="false" outlineLevel="0" collapsed="false">
      <c r="A16" s="1" t="s">
        <v>117</v>
      </c>
      <c r="B16" s="1" t="s">
        <v>131</v>
      </c>
      <c r="C16" s="1" t="n">
        <v>3.9</v>
      </c>
      <c r="D16" s="1" t="n">
        <v>846</v>
      </c>
      <c r="E16" s="1" t="n">
        <v>8</v>
      </c>
      <c r="F16" s="1" t="n">
        <f aca="false">ROUND((C16-AVERAGE(C2:C215))/AVERAGE(C2:C215) * 100,0)</f>
        <v>6</v>
      </c>
      <c r="G16" s="1" t="s">
        <v>132</v>
      </c>
      <c r="H16" s="1" t="n">
        <v>3.8</v>
      </c>
      <c r="I16" s="1" t="n">
        <v>3.7</v>
      </c>
      <c r="J16" s="1" t="n">
        <v>4.1</v>
      </c>
      <c r="K16" s="1" t="n">
        <v>3.6</v>
      </c>
      <c r="L16" s="1" t="n">
        <v>3.5</v>
      </c>
      <c r="M16" s="1" t="n">
        <v>3.7</v>
      </c>
      <c r="N16" s="1" t="n">
        <v>3.1</v>
      </c>
      <c r="O16" s="1" t="n">
        <v>1930</v>
      </c>
      <c r="P16" s="1" t="n">
        <v>3600</v>
      </c>
      <c r="Q16" s="1" t="n">
        <v>21000</v>
      </c>
      <c r="R16" s="1" t="s">
        <v>133</v>
      </c>
      <c r="S16" s="1" t="s">
        <v>134</v>
      </c>
      <c r="T16" s="1" t="s">
        <v>66</v>
      </c>
      <c r="V16" s="1" t="s">
        <v>135</v>
      </c>
      <c r="W16" s="1" t="s">
        <v>136</v>
      </c>
      <c r="X16" s="1" t="s">
        <v>39</v>
      </c>
      <c r="Y16" s="1" t="n">
        <v>88.2</v>
      </c>
      <c r="Z16" s="3" t="s">
        <v>137</v>
      </c>
      <c r="AA16" s="1" t="n">
        <v>13</v>
      </c>
      <c r="AB16" s="1" t="n">
        <v>4.8</v>
      </c>
      <c r="AC16" s="0" t="n">
        <v>1</v>
      </c>
      <c r="AD16" s="0" t="n">
        <v>0</v>
      </c>
      <c r="AE16" s="0" t="n">
        <v>0</v>
      </c>
    </row>
    <row r="17" customFormat="false" ht="15" hidden="false" customHeight="false" outlineLevel="0" collapsed="false">
      <c r="A17" s="1" t="s">
        <v>117</v>
      </c>
      <c r="B17" s="1" t="s">
        <v>138</v>
      </c>
      <c r="C17" s="1" t="n">
        <v>4.7</v>
      </c>
      <c r="D17" s="1" t="n">
        <v>18</v>
      </c>
      <c r="E17" s="1" t="n">
        <v>0</v>
      </c>
      <c r="F17" s="1" t="n">
        <f aca="false">ROUND((C17-AVERAGE(C2:C216))/AVERAGE(C2:C216) * 100,0)</f>
        <v>28</v>
      </c>
      <c r="G17" s="1" t="s">
        <v>139</v>
      </c>
      <c r="H17" s="1" t="n">
        <v>4.7</v>
      </c>
      <c r="I17" s="1" t="n">
        <v>4.4</v>
      </c>
      <c r="J17" s="1" t="n">
        <v>4.7</v>
      </c>
      <c r="K17" s="1" t="n">
        <v>4.5</v>
      </c>
      <c r="L17" s="1" t="n">
        <v>4.4</v>
      </c>
      <c r="M17" s="1" t="n">
        <v>4.6</v>
      </c>
      <c r="N17" s="1" t="n">
        <v>4.2</v>
      </c>
      <c r="O17" s="1" t="n">
        <v>2016</v>
      </c>
      <c r="P17" s="1" t="n">
        <v>140</v>
      </c>
      <c r="Q17" s="1" t="n">
        <v>140</v>
      </c>
      <c r="R17" s="1" t="s">
        <v>140</v>
      </c>
      <c r="S17" s="1" t="s">
        <v>44</v>
      </c>
      <c r="V17" s="1" t="s">
        <v>141</v>
      </c>
      <c r="W17" s="1" t="s">
        <v>142</v>
      </c>
      <c r="X17" s="1" t="s">
        <v>143</v>
      </c>
      <c r="Y17" s="1" t="n">
        <v>16.8</v>
      </c>
      <c r="Z17" s="3" t="s">
        <v>144</v>
      </c>
      <c r="AA17" s="1" t="n">
        <v>13</v>
      </c>
      <c r="AB17" s="1" t="n">
        <v>2.8</v>
      </c>
      <c r="AC17" s="0" t="n">
        <v>3</v>
      </c>
      <c r="AD17" s="0" t="n">
        <v>3</v>
      </c>
      <c r="AE17" s="0" t="n">
        <v>10</v>
      </c>
    </row>
    <row r="18" customFormat="false" ht="15" hidden="false" customHeight="false" outlineLevel="0" collapsed="false">
      <c r="A18" s="1" t="s">
        <v>117</v>
      </c>
      <c r="B18" s="1" t="s">
        <v>145</v>
      </c>
      <c r="C18" s="1" t="n">
        <v>3.6</v>
      </c>
      <c r="D18" s="1" t="n">
        <v>42900</v>
      </c>
      <c r="E18" s="1" t="n">
        <v>0</v>
      </c>
      <c r="F18" s="1" t="n">
        <f aca="false">ROUND((C18-AVERAGE(C2:C217))/AVERAGE(C2:C217) * 100,0)</f>
        <v>-2</v>
      </c>
      <c r="G18" s="1" t="s">
        <v>146</v>
      </c>
      <c r="H18" s="1" t="n">
        <v>3.5</v>
      </c>
      <c r="I18" s="1" t="n">
        <v>3</v>
      </c>
      <c r="J18" s="1" t="n">
        <v>3.6</v>
      </c>
      <c r="K18" s="1" t="n">
        <v>3.4</v>
      </c>
      <c r="L18" s="1" t="n">
        <v>3.5</v>
      </c>
      <c r="M18" s="1" t="n">
        <v>3.9</v>
      </c>
      <c r="N18" s="1" t="n">
        <v>2.9</v>
      </c>
      <c r="O18" s="1" t="n">
        <v>1997</v>
      </c>
      <c r="P18" s="1" t="n">
        <v>90000</v>
      </c>
      <c r="Q18" s="1" t="n">
        <v>145000</v>
      </c>
      <c r="R18" s="1" t="s">
        <v>147</v>
      </c>
      <c r="S18" s="1" t="s">
        <v>51</v>
      </c>
      <c r="T18" s="1" t="s">
        <v>73</v>
      </c>
      <c r="V18" s="1" t="s">
        <v>148</v>
      </c>
      <c r="W18" s="1" t="s">
        <v>149</v>
      </c>
      <c r="X18" s="1" t="s">
        <v>39</v>
      </c>
      <c r="Y18" s="1" t="n">
        <v>36.7</v>
      </c>
      <c r="Z18" s="3" t="s">
        <v>150</v>
      </c>
      <c r="AA18" s="1" t="n">
        <v>13</v>
      </c>
      <c r="AB18" s="1" t="n">
        <v>3.2</v>
      </c>
      <c r="AC18" s="0" t="n">
        <v>6</v>
      </c>
      <c r="AD18" s="0" t="n">
        <v>10</v>
      </c>
      <c r="AE18" s="0" t="n">
        <v>24</v>
      </c>
    </row>
    <row r="19" customFormat="false" ht="15" hidden="false" customHeight="false" outlineLevel="0" collapsed="false">
      <c r="A19" s="1" t="s">
        <v>117</v>
      </c>
      <c r="B19" s="1" t="s">
        <v>151</v>
      </c>
      <c r="C19" s="1" t="n">
        <v>4.4</v>
      </c>
      <c r="D19" s="1" t="n">
        <v>1900</v>
      </c>
      <c r="E19" s="1" t="n">
        <v>22</v>
      </c>
      <c r="F19" s="1" t="n">
        <f aca="false">ROUND((C19-AVERAGE(C2:C218))/AVERAGE(C2:C218) * 100,0)</f>
        <v>20</v>
      </c>
      <c r="G19" s="1" t="s">
        <v>152</v>
      </c>
      <c r="H19" s="1" t="n">
        <v>4.4</v>
      </c>
      <c r="I19" s="1" t="n">
        <v>4.3</v>
      </c>
      <c r="J19" s="1" t="n">
        <v>4.4</v>
      </c>
      <c r="K19" s="1" t="n">
        <v>4.3</v>
      </c>
      <c r="L19" s="1" t="n">
        <v>4.3</v>
      </c>
      <c r="M19" s="1" t="n">
        <v>4.2</v>
      </c>
      <c r="N19" s="1" t="n">
        <v>4.1</v>
      </c>
      <c r="O19" s="1" t="n">
        <v>1998</v>
      </c>
      <c r="P19" s="1" t="n">
        <v>50000</v>
      </c>
      <c r="Q19" s="1" t="n">
        <v>190820</v>
      </c>
      <c r="R19" s="1" t="s">
        <v>153</v>
      </c>
      <c r="S19" s="1" t="s">
        <v>154</v>
      </c>
      <c r="V19" s="1" t="s">
        <v>155</v>
      </c>
      <c r="W19" s="1" t="s">
        <v>156</v>
      </c>
      <c r="X19" s="1" t="s">
        <v>39</v>
      </c>
      <c r="Y19" s="1" t="n">
        <v>60.2</v>
      </c>
      <c r="Z19" s="3" t="s">
        <v>157</v>
      </c>
      <c r="AA19" s="1" t="n">
        <v>13</v>
      </c>
      <c r="AB19" s="1" t="n">
        <v>5</v>
      </c>
      <c r="AC19" s="0" t="n">
        <v>5</v>
      </c>
      <c r="AD19" s="0" t="n">
        <v>7</v>
      </c>
      <c r="AE19" s="0" t="n">
        <v>11</v>
      </c>
    </row>
    <row r="20" customFormat="false" ht="15" hidden="false" customHeight="false" outlineLevel="0" collapsed="false">
      <c r="A20" s="1" t="s">
        <v>117</v>
      </c>
      <c r="B20" s="1" t="s">
        <v>158</v>
      </c>
      <c r="C20" s="1" t="n">
        <v>3.9</v>
      </c>
      <c r="D20" s="1" t="n">
        <v>31800</v>
      </c>
      <c r="E20" s="1" t="n">
        <v>8</v>
      </c>
      <c r="F20" s="1" t="n">
        <f aca="false">ROUND((C20-AVERAGE(C2:C219))/AVERAGE(C2:C219) * 100,0)</f>
        <v>6</v>
      </c>
      <c r="G20" s="1" t="s">
        <v>159</v>
      </c>
      <c r="H20" s="1" t="n">
        <v>4</v>
      </c>
      <c r="I20" s="1" t="n">
        <v>3.8</v>
      </c>
      <c r="J20" s="1" t="n">
        <v>3.8</v>
      </c>
      <c r="K20" s="1" t="n">
        <v>3.6</v>
      </c>
      <c r="L20" s="1" t="n">
        <v>3.6</v>
      </c>
      <c r="M20" s="1" t="n">
        <v>3.5</v>
      </c>
      <c r="N20" s="1" t="n">
        <v>3.2</v>
      </c>
      <c r="O20" s="1" t="n">
        <v>1994</v>
      </c>
      <c r="P20" s="1" t="n">
        <v>110000</v>
      </c>
      <c r="Q20" s="1" t="n">
        <v>1576000</v>
      </c>
      <c r="R20" s="1" t="s">
        <v>160</v>
      </c>
      <c r="S20" s="1" t="s">
        <v>66</v>
      </c>
      <c r="V20" s="1" t="s">
        <v>161</v>
      </c>
      <c r="W20" s="1" t="s">
        <v>162</v>
      </c>
      <c r="X20" s="1" t="s">
        <v>39</v>
      </c>
      <c r="Y20" s="1" t="n">
        <v>66</v>
      </c>
      <c r="Z20" s="3" t="s">
        <v>163</v>
      </c>
      <c r="AA20" s="1" t="n">
        <v>13</v>
      </c>
      <c r="AB20" s="1" t="n">
        <v>3.8</v>
      </c>
      <c r="AC20" s="0" t="n">
        <v>5</v>
      </c>
      <c r="AD20" s="0" t="n">
        <v>6</v>
      </c>
      <c r="AE20" s="0" t="n">
        <v>13</v>
      </c>
    </row>
    <row r="21" customFormat="false" ht="15" hidden="false" customHeight="false" outlineLevel="0" collapsed="false">
      <c r="A21" s="1" t="s">
        <v>164</v>
      </c>
      <c r="B21" s="1" t="s">
        <v>165</v>
      </c>
      <c r="C21" s="1" t="n">
        <v>3.6</v>
      </c>
      <c r="D21" s="1" t="n">
        <v>19</v>
      </c>
      <c r="E21" s="1" t="n">
        <v>0</v>
      </c>
      <c r="F21" s="1" t="n">
        <f aca="false">ROUND((C21-AVERAGE(C2:C220))/AVERAGE(C2:C220) * 100,0)</f>
        <v>-2</v>
      </c>
      <c r="G21" s="1" t="s">
        <v>166</v>
      </c>
      <c r="H21" s="1" t="n">
        <v>3.9</v>
      </c>
      <c r="I21" s="1" t="n">
        <v>3.8</v>
      </c>
      <c r="J21" s="1" t="n">
        <v>3.8</v>
      </c>
      <c r="K21" s="1" t="n">
        <v>3.4</v>
      </c>
      <c r="L21" s="1" t="n">
        <v>3.1</v>
      </c>
      <c r="M21" s="1" t="n">
        <v>2.7</v>
      </c>
      <c r="N21" s="1" t="n">
        <v>2.6</v>
      </c>
      <c r="O21" s="1" t="n">
        <v>2002</v>
      </c>
      <c r="P21" s="1" t="n">
        <v>150</v>
      </c>
      <c r="Q21" s="1" t="n">
        <v>4800</v>
      </c>
      <c r="R21" s="1" t="s">
        <v>167</v>
      </c>
      <c r="S21" s="1" t="s">
        <v>154</v>
      </c>
      <c r="V21" s="1" t="s">
        <v>168</v>
      </c>
      <c r="W21" s="1" t="s">
        <v>169</v>
      </c>
      <c r="X21" s="1" t="s">
        <v>170</v>
      </c>
      <c r="Y21" s="1" t="n">
        <v>77.4</v>
      </c>
      <c r="Z21" s="3" t="s">
        <v>171</v>
      </c>
      <c r="AA21" s="1" t="n">
        <v>13</v>
      </c>
      <c r="AB21" s="1" t="n">
        <v>2.8</v>
      </c>
      <c r="AC21" s="0" t="n">
        <v>1</v>
      </c>
      <c r="AD21" s="0" t="n">
        <v>1</v>
      </c>
      <c r="AE21" s="0" t="n">
        <v>15</v>
      </c>
    </row>
    <row r="22" customFormat="false" ht="15" hidden="false" customHeight="false" outlineLevel="0" collapsed="false">
      <c r="A22" s="1" t="s">
        <v>164</v>
      </c>
      <c r="B22" s="1" t="s">
        <v>172</v>
      </c>
      <c r="C22" s="1" t="n">
        <v>4.1</v>
      </c>
      <c r="D22" s="1" t="n">
        <v>1000</v>
      </c>
      <c r="E22" s="1" t="n">
        <v>5</v>
      </c>
      <c r="F22" s="1" t="n">
        <f aca="false">ROUND((C22-AVERAGE(C2:C221))/AVERAGE(C2:C221) * 100,0)</f>
        <v>12</v>
      </c>
      <c r="G22" s="1" t="s">
        <v>173</v>
      </c>
      <c r="H22" s="1" t="n">
        <v>4</v>
      </c>
      <c r="I22" s="1" t="n">
        <v>3.5</v>
      </c>
      <c r="J22" s="1" t="n">
        <v>4.2</v>
      </c>
      <c r="K22" s="1" t="n">
        <v>3.8</v>
      </c>
      <c r="L22" s="1" t="n">
        <v>3.8</v>
      </c>
      <c r="M22" s="1" t="n">
        <v>4.1</v>
      </c>
      <c r="N22" s="1" t="n">
        <v>3.1</v>
      </c>
      <c r="O22" s="1" t="n">
        <v>1847</v>
      </c>
      <c r="P22" s="1" t="n">
        <v>5000</v>
      </c>
      <c r="Q22" s="1" t="n">
        <v>100000</v>
      </c>
      <c r="R22" s="1" t="s">
        <v>174</v>
      </c>
      <c r="S22" s="1" t="s">
        <v>175</v>
      </c>
      <c r="V22" s="1" t="s">
        <v>176</v>
      </c>
      <c r="W22" s="1" t="s">
        <v>177</v>
      </c>
      <c r="X22" s="1" t="s">
        <v>39</v>
      </c>
      <c r="Y22" s="1" t="n">
        <v>31.1</v>
      </c>
      <c r="Z22" s="3" t="s">
        <v>178</v>
      </c>
      <c r="AA22" s="1" t="n">
        <v>13</v>
      </c>
      <c r="AB22" s="1" t="n">
        <v>3.3</v>
      </c>
      <c r="AC22" s="0" t="n">
        <v>5</v>
      </c>
      <c r="AD22" s="0" t="n">
        <v>14</v>
      </c>
      <c r="AE22" s="0" t="n">
        <v>32</v>
      </c>
    </row>
    <row r="23" customFormat="false" ht="15" hidden="false" customHeight="false" outlineLevel="0" collapsed="false">
      <c r="A23" s="1" t="s">
        <v>179</v>
      </c>
      <c r="B23" s="1" t="s">
        <v>180</v>
      </c>
      <c r="C23" s="1" t="n">
        <v>3.3</v>
      </c>
      <c r="D23" s="1" t="n">
        <v>108</v>
      </c>
      <c r="E23" s="1" t="n">
        <v>-11</v>
      </c>
      <c r="F23" s="1" t="n">
        <f aca="false">ROUND((C23-AVERAGE(C2:C222))/AVERAGE(C2:C222) * 100,0)</f>
        <v>-10</v>
      </c>
      <c r="G23" s="1" t="s">
        <v>181</v>
      </c>
      <c r="H23" s="1" t="n">
        <v>3.3</v>
      </c>
      <c r="I23" s="1" t="n">
        <v>3</v>
      </c>
      <c r="J23" s="1" t="n">
        <v>3.7</v>
      </c>
      <c r="K23" s="1" t="n">
        <v>3.1</v>
      </c>
      <c r="L23" s="1" t="n">
        <v>3.2</v>
      </c>
      <c r="M23" s="1" t="n">
        <v>3.3</v>
      </c>
      <c r="N23" s="1" t="n">
        <v>2.6</v>
      </c>
      <c r="O23" s="1" t="n">
        <v>1901</v>
      </c>
      <c r="P23" s="1" t="n">
        <v>4000</v>
      </c>
      <c r="Q23" s="1" t="n">
        <v>67000</v>
      </c>
      <c r="R23" s="1" t="s">
        <v>182</v>
      </c>
      <c r="S23" s="1" t="s">
        <v>183</v>
      </c>
      <c r="V23" s="1" t="s">
        <v>184</v>
      </c>
      <c r="W23" s="1" t="s">
        <v>185</v>
      </c>
      <c r="X23" s="1" t="s">
        <v>39</v>
      </c>
      <c r="Y23" s="1" t="n">
        <v>23.8</v>
      </c>
      <c r="Z23" s="3" t="s">
        <v>186</v>
      </c>
      <c r="AA23" s="1" t="n">
        <v>13</v>
      </c>
      <c r="AB23" s="1" t="n">
        <v>1.8</v>
      </c>
      <c r="AC23" s="0" t="n">
        <v>5</v>
      </c>
      <c r="AD23" s="0" t="n">
        <v>24</v>
      </c>
      <c r="AE23" s="0" t="n">
        <v>65</v>
      </c>
    </row>
    <row r="24" customFormat="false" ht="15" hidden="false" customHeight="false" outlineLevel="0" collapsed="false">
      <c r="A24" s="1" t="s">
        <v>179</v>
      </c>
      <c r="B24" s="1" t="s">
        <v>187</v>
      </c>
      <c r="C24" s="1" t="n">
        <v>4.1</v>
      </c>
      <c r="D24" s="1" t="n">
        <v>521</v>
      </c>
      <c r="E24" s="1" t="n">
        <v>14</v>
      </c>
      <c r="F24" s="1" t="n">
        <f aca="false">ROUND((C24-AVERAGE(C2:C223))/AVERAGE(C2:C223) * 100,0)</f>
        <v>12</v>
      </c>
      <c r="G24" s="1" t="s">
        <v>188</v>
      </c>
      <c r="H24" s="1" t="n">
        <v>4</v>
      </c>
      <c r="I24" s="1" t="n">
        <v>4.3</v>
      </c>
      <c r="J24" s="1" t="n">
        <v>4.1</v>
      </c>
      <c r="K24" s="1" t="n">
        <v>4</v>
      </c>
      <c r="L24" s="1" t="n">
        <v>4.1</v>
      </c>
      <c r="M24" s="1" t="n">
        <v>3.9</v>
      </c>
      <c r="N24" s="1" t="n">
        <v>4</v>
      </c>
      <c r="O24" s="1" t="n">
        <v>2020</v>
      </c>
      <c r="P24" s="1" t="n">
        <v>500</v>
      </c>
      <c r="Q24" s="1" t="n">
        <v>5000</v>
      </c>
      <c r="R24" s="1" t="s">
        <v>189</v>
      </c>
      <c r="S24" s="1" t="s">
        <v>190</v>
      </c>
      <c r="V24" s="1" t="s">
        <v>191</v>
      </c>
      <c r="W24" s="1" t="s">
        <v>192</v>
      </c>
      <c r="X24" s="1" t="s">
        <v>39</v>
      </c>
      <c r="Y24" s="1" t="n">
        <v>33.5</v>
      </c>
      <c r="Z24" s="3" t="s">
        <v>193</v>
      </c>
      <c r="AA24" s="1" t="n">
        <v>13</v>
      </c>
      <c r="AB24" s="1" t="n">
        <v>1.3</v>
      </c>
      <c r="AC24" s="0" t="n">
        <v>5</v>
      </c>
      <c r="AD24" s="0" t="n">
        <v>22</v>
      </c>
      <c r="AE24" s="0" t="n">
        <v>64</v>
      </c>
    </row>
    <row r="25" customFormat="false" ht="15" hidden="false" customHeight="false" outlineLevel="0" collapsed="false">
      <c r="A25" s="1" t="s">
        <v>179</v>
      </c>
      <c r="B25" s="1" t="s">
        <v>194</v>
      </c>
      <c r="C25" s="1" t="n">
        <v>3.3</v>
      </c>
      <c r="D25" s="1" t="n">
        <v>729</v>
      </c>
      <c r="E25" s="1" t="n">
        <v>-8</v>
      </c>
      <c r="F25" s="1" t="n">
        <f aca="false">ROUND((C25-AVERAGE(C2:C224))/AVERAGE(C2:C224) * 100,0)</f>
        <v>-10</v>
      </c>
      <c r="G25" s="1" t="s">
        <v>195</v>
      </c>
      <c r="H25" s="1" t="n">
        <v>3.4</v>
      </c>
      <c r="I25" s="1" t="n">
        <v>3.2</v>
      </c>
      <c r="J25" s="1" t="n">
        <v>2.9</v>
      </c>
      <c r="K25" s="1" t="n">
        <v>3.1</v>
      </c>
      <c r="L25" s="1" t="n">
        <v>3.6</v>
      </c>
      <c r="M25" s="1" t="n">
        <v>3.4</v>
      </c>
      <c r="N25" s="1" t="n">
        <v>2.8</v>
      </c>
      <c r="O25" s="1" t="n">
        <v>2013</v>
      </c>
      <c r="P25" s="1" t="n">
        <v>5000</v>
      </c>
      <c r="Q25" s="1" t="n">
        <v>5000</v>
      </c>
      <c r="R25" s="1" t="s">
        <v>196</v>
      </c>
      <c r="S25" s="1" t="s">
        <v>44</v>
      </c>
      <c r="V25" s="1" t="s">
        <v>197</v>
      </c>
      <c r="W25" s="1" t="s">
        <v>198</v>
      </c>
      <c r="X25" s="1" t="s">
        <v>39</v>
      </c>
      <c r="Y25" s="1" t="n">
        <v>40.9</v>
      </c>
      <c r="Z25" s="3" t="s">
        <v>199</v>
      </c>
      <c r="AA25" s="1" t="n">
        <v>13</v>
      </c>
      <c r="AB25" s="1" t="n">
        <v>1.8</v>
      </c>
      <c r="AC25" s="0" t="n">
        <v>11</v>
      </c>
      <c r="AD25" s="0" t="n">
        <v>23</v>
      </c>
      <c r="AE25" s="0" t="n">
        <v>73</v>
      </c>
    </row>
    <row r="26" customFormat="false" ht="15" hidden="false" customHeight="false" outlineLevel="0" collapsed="false">
      <c r="A26" s="1" t="s">
        <v>200</v>
      </c>
      <c r="B26" s="1" t="s">
        <v>201</v>
      </c>
      <c r="C26" s="1" t="n">
        <v>3.6</v>
      </c>
      <c r="D26" s="1" t="n">
        <v>54300</v>
      </c>
      <c r="E26" s="1" t="n">
        <v>0</v>
      </c>
      <c r="F26" s="1" t="n">
        <f aca="false">ROUND((C26-AVERAGE(C2:C225))/AVERAGE(C2:C225) * 100,0)</f>
        <v>-2</v>
      </c>
      <c r="G26" s="1" t="s">
        <v>202</v>
      </c>
      <c r="H26" s="1" t="n">
        <v>3.6</v>
      </c>
      <c r="I26" s="1" t="n">
        <v>3</v>
      </c>
      <c r="J26" s="1" t="n">
        <v>3.8</v>
      </c>
      <c r="K26" s="1" t="n">
        <v>3.4</v>
      </c>
      <c r="L26" s="1" t="n">
        <v>3.6</v>
      </c>
      <c r="M26" s="1" t="n">
        <v>3.8</v>
      </c>
      <c r="N26" s="1" t="n">
        <v>2.8</v>
      </c>
      <c r="O26" s="1" t="n">
        <v>1967</v>
      </c>
      <c r="P26" s="1" t="n">
        <v>100000</v>
      </c>
      <c r="Q26" s="1" t="n">
        <v>100000</v>
      </c>
      <c r="R26" s="1" t="s">
        <v>203</v>
      </c>
      <c r="S26" s="1" t="s">
        <v>44</v>
      </c>
      <c r="V26" s="1" t="s">
        <v>204</v>
      </c>
      <c r="W26" s="1" t="s">
        <v>205</v>
      </c>
      <c r="X26" s="1" t="s">
        <v>39</v>
      </c>
      <c r="Y26" s="1" t="n">
        <v>27.4</v>
      </c>
      <c r="Z26" s="3" t="s">
        <v>206</v>
      </c>
      <c r="AA26" s="1" t="n">
        <v>13</v>
      </c>
      <c r="AB26" s="1" t="n">
        <v>3.9</v>
      </c>
      <c r="AC26" s="0" t="n">
        <v>2</v>
      </c>
      <c r="AD26" s="0" t="n">
        <v>4</v>
      </c>
      <c r="AE26" s="0" t="n">
        <v>12</v>
      </c>
    </row>
    <row r="27" customFormat="false" ht="15" hidden="false" customHeight="false" outlineLevel="0" collapsed="false">
      <c r="A27" s="1" t="s">
        <v>200</v>
      </c>
      <c r="B27" s="1" t="s">
        <v>207</v>
      </c>
      <c r="C27" s="1" t="n">
        <v>4.6</v>
      </c>
      <c r="D27" s="1" t="n">
        <v>28</v>
      </c>
      <c r="E27" s="1" t="n">
        <v>31</v>
      </c>
      <c r="F27" s="1" t="n">
        <f aca="false">ROUND((C27-AVERAGE(C2:C226))/AVERAGE(C2:C226) * 100,0)</f>
        <v>26</v>
      </c>
      <c r="G27" s="1" t="s">
        <v>208</v>
      </c>
      <c r="H27" s="1" t="n">
        <v>4.6</v>
      </c>
      <c r="I27" s="1" t="n">
        <v>4.3</v>
      </c>
      <c r="J27" s="1" t="n">
        <v>4.6</v>
      </c>
      <c r="K27" s="1" t="n">
        <v>4.5</v>
      </c>
      <c r="L27" s="1" t="n">
        <v>4.3</v>
      </c>
      <c r="M27" s="1" t="n">
        <v>3.9</v>
      </c>
      <c r="N27" s="1" t="n">
        <v>3.8</v>
      </c>
      <c r="O27" s="1" t="n">
        <v>1832</v>
      </c>
      <c r="P27" s="1" t="n">
        <v>1000</v>
      </c>
      <c r="Q27" s="1" t="n">
        <v>4300</v>
      </c>
      <c r="R27" s="1" t="s">
        <v>209</v>
      </c>
      <c r="S27" s="1" t="s">
        <v>210</v>
      </c>
      <c r="V27" s="1" t="s">
        <v>211</v>
      </c>
      <c r="W27" s="1" t="s">
        <v>212</v>
      </c>
      <c r="X27" s="1" t="s">
        <v>213</v>
      </c>
      <c r="Y27" s="1" t="n">
        <v>37.5</v>
      </c>
      <c r="Z27" s="3" t="s">
        <v>214</v>
      </c>
      <c r="AA27" s="1" t="n">
        <v>13</v>
      </c>
      <c r="AB27" s="1" t="n">
        <v>2.4</v>
      </c>
      <c r="AC27" s="0" t="n">
        <v>5</v>
      </c>
      <c r="AD27" s="0" t="n">
        <v>16</v>
      </c>
      <c r="AE27" s="0" t="n">
        <v>52</v>
      </c>
    </row>
    <row r="28" customFormat="false" ht="15" hidden="false" customHeight="false" outlineLevel="0" collapsed="false">
      <c r="A28" s="1" t="s">
        <v>200</v>
      </c>
      <c r="B28" s="1" t="s">
        <v>215</v>
      </c>
      <c r="C28" s="1" t="n">
        <v>4.1</v>
      </c>
      <c r="D28" s="1" t="n">
        <v>1600</v>
      </c>
      <c r="E28" s="1" t="n">
        <v>17</v>
      </c>
      <c r="F28" s="1" t="n">
        <f aca="false">ROUND((C28-AVERAGE(C2:C227))/AVERAGE(C2:C227) * 100,0)</f>
        <v>12</v>
      </c>
      <c r="G28" s="1" t="s">
        <v>216</v>
      </c>
      <c r="H28" s="1" t="n">
        <v>4</v>
      </c>
      <c r="I28" s="1" t="n">
        <v>3.9</v>
      </c>
      <c r="J28" s="1" t="n">
        <v>4.3</v>
      </c>
      <c r="K28" s="1" t="n">
        <v>3.9</v>
      </c>
      <c r="L28" s="1" t="n">
        <v>3.9</v>
      </c>
      <c r="M28" s="1" t="n">
        <v>3.2</v>
      </c>
      <c r="N28" s="1" t="n">
        <v>3.4</v>
      </c>
      <c r="O28" s="1" t="n">
        <v>2005</v>
      </c>
      <c r="P28" s="1" t="n">
        <v>1000</v>
      </c>
      <c r="Q28" s="1" t="n">
        <v>5000</v>
      </c>
      <c r="R28" s="1" t="s">
        <v>217</v>
      </c>
      <c r="S28" s="1" t="s">
        <v>210</v>
      </c>
      <c r="V28" s="1" t="s">
        <v>218</v>
      </c>
      <c r="W28" s="1" t="s">
        <v>219</v>
      </c>
      <c r="X28" s="1" t="s">
        <v>39</v>
      </c>
      <c r="Y28" s="1" t="n">
        <v>36.9</v>
      </c>
      <c r="Z28" s="3" t="s">
        <v>220</v>
      </c>
      <c r="AA28" s="1" t="n">
        <v>13</v>
      </c>
      <c r="AB28" s="1" t="n">
        <v>4.8</v>
      </c>
      <c r="AC28" s="0" t="n">
        <v>-3</v>
      </c>
      <c r="AD28" s="0" t="n">
        <v>-8</v>
      </c>
      <c r="AE28" s="0" t="n">
        <v>-25</v>
      </c>
    </row>
    <row r="29" customFormat="false" ht="15" hidden="false" customHeight="false" outlineLevel="0" collapsed="false">
      <c r="A29" s="1" t="s">
        <v>200</v>
      </c>
      <c r="B29" s="1" t="s">
        <v>221</v>
      </c>
      <c r="C29" s="1" t="n">
        <v>4.5</v>
      </c>
      <c r="D29" s="1" t="n">
        <v>7</v>
      </c>
      <c r="E29" s="1" t="n">
        <v>29</v>
      </c>
      <c r="F29" s="1" t="n">
        <f aca="false">ROUND((C29-AVERAGE(C2:C228))/AVERAGE(C2:C228) * 100,0)</f>
        <v>23</v>
      </c>
      <c r="G29" s="1" t="s">
        <v>222</v>
      </c>
      <c r="H29" s="1" t="n">
        <v>4.5</v>
      </c>
      <c r="I29" s="1" t="n">
        <v>4.3</v>
      </c>
      <c r="J29" s="1" t="n">
        <v>4.8</v>
      </c>
      <c r="K29" s="1" t="n">
        <v>4.5</v>
      </c>
      <c r="L29" s="1" t="n">
        <v>3.4</v>
      </c>
      <c r="M29" s="1" t="n">
        <v>2.2</v>
      </c>
      <c r="N29" s="1" t="n">
        <v>3.4</v>
      </c>
      <c r="O29" s="1" t="n">
        <v>2008</v>
      </c>
      <c r="P29" s="1" t="n">
        <v>50</v>
      </c>
      <c r="Q29" s="1" t="n">
        <v>200</v>
      </c>
      <c r="R29" s="1" t="s">
        <v>223</v>
      </c>
      <c r="S29" s="1" t="s">
        <v>210</v>
      </c>
      <c r="V29" s="1" t="s">
        <v>224</v>
      </c>
      <c r="W29" s="1" t="s">
        <v>225</v>
      </c>
      <c r="X29" s="1" t="s">
        <v>226</v>
      </c>
      <c r="Y29" s="1" t="n">
        <v>25.8</v>
      </c>
      <c r="Z29" s="3" t="s">
        <v>227</v>
      </c>
      <c r="AA29" s="1" t="n">
        <v>13</v>
      </c>
      <c r="AB29" s="1" t="n">
        <v>2.8</v>
      </c>
      <c r="AC29" s="0" t="n">
        <v>9</v>
      </c>
      <c r="AD29" s="0" t="n">
        <v>17</v>
      </c>
      <c r="AE29" s="0" t="n">
        <v>44</v>
      </c>
    </row>
    <row r="30" customFormat="false" ht="15" hidden="false" customHeight="false" outlineLevel="0" collapsed="false">
      <c r="A30" s="1" t="s">
        <v>228</v>
      </c>
      <c r="B30" s="1" t="s">
        <v>229</v>
      </c>
      <c r="C30" s="1" t="n">
        <v>3.2</v>
      </c>
      <c r="D30" s="1" t="n">
        <v>1000</v>
      </c>
      <c r="E30" s="1" t="n">
        <v>-11</v>
      </c>
      <c r="F30" s="1" t="n">
        <f aca="false">ROUND((C30-AVERAGE(C2:C229))/AVERAGE(C2:C229) * 100,0)</f>
        <v>-13</v>
      </c>
      <c r="G30" s="1" t="s">
        <v>230</v>
      </c>
      <c r="H30" s="1" t="n">
        <v>3.1</v>
      </c>
      <c r="I30" s="1" t="n">
        <v>3.2</v>
      </c>
      <c r="J30" s="1" t="n">
        <v>3.4</v>
      </c>
      <c r="K30" s="1" t="n">
        <v>3.1</v>
      </c>
      <c r="L30" s="1" t="n">
        <v>3.1</v>
      </c>
      <c r="M30" s="1" t="n">
        <v>3</v>
      </c>
      <c r="N30" s="1" t="n">
        <v>2.8</v>
      </c>
      <c r="O30" s="1" t="n">
        <v>2003</v>
      </c>
      <c r="P30" s="1" t="n">
        <v>5000</v>
      </c>
      <c r="Q30" s="1" t="n">
        <v>10000</v>
      </c>
      <c r="R30" s="1" t="s">
        <v>231</v>
      </c>
      <c r="S30" s="1" t="s">
        <v>44</v>
      </c>
      <c r="V30" s="1" t="s">
        <v>232</v>
      </c>
      <c r="W30" s="1" t="s">
        <v>83</v>
      </c>
      <c r="X30" s="1" t="s">
        <v>39</v>
      </c>
      <c r="Y30" s="1" t="n">
        <v>39</v>
      </c>
      <c r="Z30" s="3" t="s">
        <v>233</v>
      </c>
      <c r="AA30" s="1" t="n">
        <v>13</v>
      </c>
      <c r="AB30" s="1" t="n">
        <v>2.9</v>
      </c>
      <c r="AC30" s="0" t="n">
        <v>0</v>
      </c>
      <c r="AD30" s="0" t="n">
        <v>0</v>
      </c>
      <c r="AE30" s="0" t="n">
        <v>13</v>
      </c>
    </row>
    <row r="31" customFormat="false" ht="15" hidden="false" customHeight="false" outlineLevel="0" collapsed="false">
      <c r="A31" s="1" t="s">
        <v>228</v>
      </c>
      <c r="B31" s="1" t="s">
        <v>234</v>
      </c>
      <c r="C31" s="1" t="n">
        <v>3.6</v>
      </c>
      <c r="D31" s="1" t="n">
        <v>517</v>
      </c>
      <c r="E31" s="1" t="n">
        <v>0</v>
      </c>
      <c r="F31" s="1" t="n">
        <f aca="false">ROUND((C31-AVERAGE(C2:C230))/AVERAGE(C2:C230) * 100,0)</f>
        <v>-2</v>
      </c>
      <c r="G31" s="1" t="s">
        <v>235</v>
      </c>
      <c r="H31" s="1" t="n">
        <v>3.6</v>
      </c>
      <c r="I31" s="1" t="n">
        <v>3.7</v>
      </c>
      <c r="J31" s="1" t="n">
        <v>3.3</v>
      </c>
      <c r="K31" s="1" t="n">
        <v>3.4</v>
      </c>
      <c r="L31" s="1" t="n">
        <v>3.5</v>
      </c>
      <c r="M31" s="1" t="n">
        <v>3.4</v>
      </c>
      <c r="N31" s="1" t="n">
        <v>2.9</v>
      </c>
      <c r="O31" s="1" t="n">
        <v>1963</v>
      </c>
      <c r="P31" s="1" t="n">
        <v>5000</v>
      </c>
      <c r="Q31" s="1" t="n">
        <v>50000</v>
      </c>
      <c r="R31" s="1" t="s">
        <v>236</v>
      </c>
      <c r="S31" s="1" t="s">
        <v>100</v>
      </c>
      <c r="V31" s="1" t="s">
        <v>237</v>
      </c>
      <c r="W31" s="1" t="s">
        <v>238</v>
      </c>
      <c r="X31" s="1" t="s">
        <v>39</v>
      </c>
      <c r="Y31" s="1" t="n">
        <v>73.7</v>
      </c>
      <c r="Z31" s="3" t="s">
        <v>239</v>
      </c>
      <c r="AA31" s="1" t="n">
        <v>13</v>
      </c>
      <c r="AB31" s="1" t="n">
        <v>3.5</v>
      </c>
      <c r="AC31" s="0" t="n">
        <v>4</v>
      </c>
      <c r="AD31" s="0" t="n">
        <v>4</v>
      </c>
      <c r="AE31" s="0" t="n">
        <v>7</v>
      </c>
    </row>
    <row r="32" customFormat="false" ht="15" hidden="false" customHeight="false" outlineLevel="0" collapsed="false">
      <c r="A32" s="1" t="s">
        <v>228</v>
      </c>
      <c r="B32" s="1" t="s">
        <v>240</v>
      </c>
      <c r="C32" s="1" t="n">
        <v>3.9</v>
      </c>
      <c r="D32" s="1" t="n">
        <v>3200</v>
      </c>
      <c r="E32" s="1" t="n">
        <v>8</v>
      </c>
      <c r="F32" s="1" t="n">
        <f aca="false">ROUND((C32-AVERAGE(C2:C231))/AVERAGE(C2:C231) * 100,0)</f>
        <v>6</v>
      </c>
      <c r="G32" s="1" t="s">
        <v>241</v>
      </c>
      <c r="H32" s="1" t="n">
        <v>4.1</v>
      </c>
      <c r="I32" s="1" t="n">
        <v>3.6</v>
      </c>
      <c r="J32" s="1" t="n">
        <v>4.1</v>
      </c>
      <c r="K32" s="1" t="n">
        <v>3.6</v>
      </c>
      <c r="L32" s="1" t="n">
        <v>3.5</v>
      </c>
      <c r="M32" s="1" t="n">
        <v>3.5</v>
      </c>
      <c r="N32" s="1" t="n">
        <v>3</v>
      </c>
      <c r="O32" s="1" t="n">
        <v>1860</v>
      </c>
      <c r="P32" s="1" t="n">
        <v>50000</v>
      </c>
      <c r="Q32" s="1" t="n">
        <v>50000</v>
      </c>
      <c r="R32" s="1" t="s">
        <v>242</v>
      </c>
      <c r="S32" s="1" t="s">
        <v>51</v>
      </c>
      <c r="V32" s="1" t="s">
        <v>243</v>
      </c>
      <c r="W32" s="1" t="s">
        <v>244</v>
      </c>
      <c r="X32" s="1" t="s">
        <v>39</v>
      </c>
      <c r="Y32" s="1" t="n">
        <v>45.2</v>
      </c>
      <c r="Z32" s="3" t="s">
        <v>245</v>
      </c>
      <c r="AA32" s="1" t="n">
        <v>13</v>
      </c>
      <c r="AB32" s="1" t="n">
        <v>4.3</v>
      </c>
      <c r="AC32" s="0" t="n">
        <v>1</v>
      </c>
      <c r="AD32" s="0" t="n">
        <v>6</v>
      </c>
      <c r="AE32" s="0" t="n">
        <v>13</v>
      </c>
    </row>
    <row r="33" customFormat="false" ht="15" hidden="false" customHeight="false" outlineLevel="0" collapsed="false">
      <c r="A33" s="1" t="s">
        <v>228</v>
      </c>
      <c r="B33" s="1" t="s">
        <v>246</v>
      </c>
      <c r="C33" s="1" t="n">
        <v>3.6</v>
      </c>
      <c r="D33" s="1" t="n">
        <v>399</v>
      </c>
      <c r="E33" s="1" t="n">
        <v>0</v>
      </c>
      <c r="F33" s="1" t="n">
        <f aca="false">ROUND((C33-AVERAGE(C2:C232))/AVERAGE(C2:C232) * 100,0)</f>
        <v>-2</v>
      </c>
      <c r="G33" s="1" t="s">
        <v>247</v>
      </c>
      <c r="H33" s="1" t="n">
        <v>3.3</v>
      </c>
      <c r="I33" s="1" t="n">
        <v>3.6</v>
      </c>
      <c r="J33" s="1" t="n">
        <v>3.5</v>
      </c>
      <c r="K33" s="1" t="n">
        <v>3.2</v>
      </c>
      <c r="L33" s="1" t="n">
        <v>3.3</v>
      </c>
      <c r="M33" s="1" t="n">
        <v>3.3</v>
      </c>
      <c r="N33" s="1" t="n">
        <v>3.1</v>
      </c>
      <c r="O33" s="1" t="n">
        <v>1999</v>
      </c>
      <c r="P33" s="1" t="n">
        <v>5000</v>
      </c>
      <c r="Q33" s="1" t="n">
        <v>5000</v>
      </c>
      <c r="R33" s="1" t="s">
        <v>248</v>
      </c>
      <c r="S33" s="1" t="s">
        <v>249</v>
      </c>
      <c r="V33" s="1" t="s">
        <v>250</v>
      </c>
      <c r="W33" s="1" t="s">
        <v>251</v>
      </c>
      <c r="X33" s="1" t="s">
        <v>252</v>
      </c>
      <c r="Y33" s="1" t="n">
        <v>10.3</v>
      </c>
      <c r="Z33" s="3" t="s">
        <v>253</v>
      </c>
      <c r="AA33" s="1" t="n">
        <v>13</v>
      </c>
      <c r="AB33" s="1" t="n">
        <v>3.3</v>
      </c>
      <c r="AC33" s="0" t="n">
        <v>7</v>
      </c>
      <c r="AD33" s="0" t="n">
        <v>9</v>
      </c>
      <c r="AE33" s="0" t="n">
        <v>13</v>
      </c>
    </row>
    <row r="34" customFormat="false" ht="15" hidden="false" customHeight="false" outlineLevel="0" collapsed="false">
      <c r="A34" s="1" t="s">
        <v>228</v>
      </c>
      <c r="B34" s="1" t="s">
        <v>254</v>
      </c>
      <c r="C34" s="1" t="n">
        <v>3.6</v>
      </c>
      <c r="D34" s="1" t="n">
        <v>8700</v>
      </c>
      <c r="E34" s="1" t="n">
        <v>0</v>
      </c>
      <c r="F34" s="1" t="n">
        <f aca="false">ROUND((C34-AVERAGE(C2:C233))/AVERAGE(C2:C233) * 100,0)</f>
        <v>-2</v>
      </c>
      <c r="G34" s="1" t="s">
        <v>255</v>
      </c>
      <c r="H34" s="1" t="n">
        <v>3.5</v>
      </c>
      <c r="I34" s="1" t="n">
        <v>3.1</v>
      </c>
      <c r="J34" s="1" t="n">
        <v>3.7</v>
      </c>
      <c r="K34" s="1" t="n">
        <v>3.4</v>
      </c>
      <c r="L34" s="1" t="n">
        <v>3.3</v>
      </c>
      <c r="M34" s="1" t="n">
        <v>3.9</v>
      </c>
      <c r="N34" s="1" t="n">
        <v>2.9</v>
      </c>
      <c r="O34" s="1" t="n">
        <v>1999</v>
      </c>
      <c r="P34" s="1" t="n">
        <v>50000</v>
      </c>
      <c r="Q34" s="1" t="n">
        <v>100000</v>
      </c>
      <c r="R34" s="1" t="s">
        <v>256</v>
      </c>
      <c r="S34" s="1" t="s">
        <v>44</v>
      </c>
      <c r="V34" s="1" t="s">
        <v>257</v>
      </c>
      <c r="W34" s="1" t="s">
        <v>258</v>
      </c>
      <c r="X34" s="1" t="s">
        <v>39</v>
      </c>
      <c r="Y34" s="1" t="n">
        <v>36</v>
      </c>
      <c r="Z34" s="3" t="s">
        <v>259</v>
      </c>
      <c r="AA34" s="1" t="n">
        <v>13</v>
      </c>
      <c r="AB34" s="1" t="n">
        <v>3</v>
      </c>
      <c r="AC34" s="0" t="n">
        <v>5</v>
      </c>
      <c r="AD34" s="0" t="n">
        <v>12</v>
      </c>
      <c r="AE34" s="0" t="n">
        <v>26</v>
      </c>
    </row>
    <row r="35" customFormat="false" ht="15" hidden="false" customHeight="false" outlineLevel="0" collapsed="false">
      <c r="A35" s="1" t="s">
        <v>260</v>
      </c>
      <c r="B35" s="1" t="s">
        <v>261</v>
      </c>
      <c r="C35" s="1" t="n">
        <v>4</v>
      </c>
      <c r="D35" s="1" t="n">
        <v>8100</v>
      </c>
      <c r="E35" s="1" t="n">
        <v>11</v>
      </c>
      <c r="F35" s="1" t="n">
        <f aca="false">ROUND((C35-AVERAGE(C2:C234))/AVERAGE(C2:C234) * 100,0)</f>
        <v>9</v>
      </c>
      <c r="G35" s="1" t="s">
        <v>262</v>
      </c>
      <c r="H35" s="1" t="n">
        <v>4</v>
      </c>
      <c r="I35" s="1" t="n">
        <v>3.5</v>
      </c>
      <c r="J35" s="1" t="n">
        <v>4.1</v>
      </c>
      <c r="K35" s="1" t="n">
        <v>3.8</v>
      </c>
      <c r="L35" s="1" t="n">
        <v>3.7</v>
      </c>
      <c r="M35" s="1" t="n">
        <v>4.2</v>
      </c>
      <c r="N35" s="1" t="n">
        <v>3.1</v>
      </c>
      <c r="O35" s="1" t="n">
        <v>2002</v>
      </c>
      <c r="P35" s="1" t="n">
        <v>50000</v>
      </c>
      <c r="Q35" s="1" t="n">
        <v>100000</v>
      </c>
      <c r="R35" s="1" t="s">
        <v>263</v>
      </c>
      <c r="S35" s="1" t="s">
        <v>44</v>
      </c>
      <c r="V35" s="1" t="s">
        <v>264</v>
      </c>
      <c r="W35" s="1" t="s">
        <v>265</v>
      </c>
      <c r="X35" s="1" t="s">
        <v>39</v>
      </c>
      <c r="Y35" s="1" t="n">
        <v>45.2</v>
      </c>
      <c r="Z35" s="3" t="s">
        <v>266</v>
      </c>
      <c r="AA35" s="1" t="n">
        <v>13</v>
      </c>
      <c r="AB35" s="1" t="n">
        <v>3.6</v>
      </c>
      <c r="AC35" s="0" t="n">
        <v>1</v>
      </c>
      <c r="AD35" s="0" t="n">
        <v>4</v>
      </c>
      <c r="AE35" s="0" t="n">
        <v>11</v>
      </c>
    </row>
    <row r="36" customFormat="false" ht="15" hidden="false" customHeight="false" outlineLevel="0" collapsed="false">
      <c r="A36" s="1" t="s">
        <v>267</v>
      </c>
      <c r="B36" s="1" t="s">
        <v>79</v>
      </c>
      <c r="C36" s="1" t="n">
        <v>4</v>
      </c>
      <c r="D36" s="1" t="n">
        <v>564</v>
      </c>
      <c r="E36" s="1" t="n">
        <v>11</v>
      </c>
      <c r="F36" s="1" t="n">
        <f aca="false">ROUND((C36-AVERAGE(C2:C234))/AVERAGE(C2:C234) * 100,0)</f>
        <v>9</v>
      </c>
      <c r="G36" s="1" t="s">
        <v>80</v>
      </c>
      <c r="H36" s="1" t="n">
        <v>4.1</v>
      </c>
      <c r="I36" s="1" t="n">
        <v>3.9</v>
      </c>
      <c r="J36" s="1" t="n">
        <v>4.1</v>
      </c>
      <c r="K36" s="1" t="n">
        <v>3.8</v>
      </c>
      <c r="L36" s="1" t="n">
        <v>3.7</v>
      </c>
      <c r="M36" s="1" t="n">
        <v>3.9</v>
      </c>
      <c r="N36" s="1" t="n">
        <v>3.6</v>
      </c>
      <c r="O36" s="1" t="n">
        <v>2004</v>
      </c>
      <c r="P36" s="1" t="n">
        <v>5000</v>
      </c>
      <c r="Q36" s="1" t="n">
        <v>5000</v>
      </c>
      <c r="R36" s="1" t="s">
        <v>81</v>
      </c>
      <c r="S36" s="1" t="s">
        <v>44</v>
      </c>
      <c r="V36" s="1" t="s">
        <v>82</v>
      </c>
      <c r="W36" s="1" t="s">
        <v>83</v>
      </c>
      <c r="X36" s="1" t="s">
        <v>39</v>
      </c>
      <c r="Y36" s="1" t="n">
        <v>31.4</v>
      </c>
      <c r="Z36" s="3" t="s">
        <v>84</v>
      </c>
      <c r="AA36" s="1" t="n">
        <v>13</v>
      </c>
      <c r="AB36" s="1" t="n">
        <v>2.9</v>
      </c>
      <c r="AC36" s="0" t="n">
        <v>9</v>
      </c>
      <c r="AD36" s="0" t="n">
        <v>21</v>
      </c>
      <c r="AE36" s="0" t="n">
        <v>44</v>
      </c>
    </row>
    <row r="37" customFormat="false" ht="15" hidden="false" customHeight="false" outlineLevel="0" collapsed="false">
      <c r="A37" s="1" t="s">
        <v>267</v>
      </c>
      <c r="B37" s="1" t="s">
        <v>32</v>
      </c>
      <c r="C37" s="1" t="n">
        <v>2.7</v>
      </c>
      <c r="D37" s="1" t="n">
        <v>802</v>
      </c>
      <c r="E37" s="1" t="n">
        <v>-25</v>
      </c>
      <c r="F37" s="1" t="n">
        <f aca="false">ROUND((C37-AVERAGE(C2:C235))/AVERAGE(C2:C235) * 100,0)</f>
        <v>-26</v>
      </c>
      <c r="G37" s="1" t="s">
        <v>33</v>
      </c>
      <c r="H37" s="1" t="n">
        <v>2.6</v>
      </c>
      <c r="I37" s="1" t="n">
        <v>2.9</v>
      </c>
      <c r="J37" s="1" t="n">
        <v>2.6</v>
      </c>
      <c r="K37" s="1" t="n">
        <v>2.5</v>
      </c>
      <c r="L37" s="1" t="n">
        <v>2.7</v>
      </c>
      <c r="M37" s="1" t="n">
        <v>2.9</v>
      </c>
      <c r="N37" s="1" t="n">
        <v>2.6</v>
      </c>
      <c r="O37" s="1" t="n">
        <v>2010</v>
      </c>
      <c r="P37" s="1" t="n">
        <v>3600</v>
      </c>
      <c r="Q37" s="1" t="n">
        <v>3600</v>
      </c>
      <c r="R37" s="1" t="s">
        <v>34</v>
      </c>
      <c r="S37" s="1" t="s">
        <v>35</v>
      </c>
      <c r="U37" s="1" t="s">
        <v>36</v>
      </c>
      <c r="V37" s="1" t="s">
        <v>268</v>
      </c>
      <c r="W37" s="1" t="s">
        <v>38</v>
      </c>
      <c r="X37" s="1" t="s">
        <v>39</v>
      </c>
      <c r="Y37" s="1" t="n">
        <v>24.5</v>
      </c>
      <c r="Z37" s="3" t="s">
        <v>40</v>
      </c>
      <c r="AA37" s="1" t="n">
        <v>13</v>
      </c>
      <c r="AB37" s="1" t="n">
        <v>3.9</v>
      </c>
      <c r="AC37" s="0" t="n">
        <v>0</v>
      </c>
      <c r="AD37" s="0" t="n">
        <v>1</v>
      </c>
      <c r="AE37" s="0" t="n">
        <v>0</v>
      </c>
    </row>
    <row r="38" customFormat="false" ht="16.4" hidden="false" customHeight="false" outlineLevel="0" collapsed="false">
      <c r="A38" s="1" t="s">
        <v>267</v>
      </c>
      <c r="B38" s="1" t="s">
        <v>41</v>
      </c>
      <c r="C38" s="1" t="n">
        <v>3.5</v>
      </c>
      <c r="D38" s="1" t="n">
        <v>49600</v>
      </c>
      <c r="E38" s="1" t="n">
        <v>-3</v>
      </c>
      <c r="F38" s="1" t="n">
        <f aca="false">ROUND((C38-AVERAGE(C2:C236))/AVERAGE(C2:C236) * 100,0)</f>
        <v>-4</v>
      </c>
      <c r="G38" s="1" t="s">
        <v>42</v>
      </c>
      <c r="H38" s="1" t="n">
        <v>3.6</v>
      </c>
      <c r="I38" s="1" t="n">
        <v>2.7</v>
      </c>
      <c r="J38" s="1" t="n">
        <v>3.6</v>
      </c>
      <c r="K38" s="1" t="n">
        <v>3.3</v>
      </c>
      <c r="L38" s="1" t="n">
        <v>3.5</v>
      </c>
      <c r="M38" s="1" t="n">
        <v>3.9</v>
      </c>
      <c r="N38" s="1" t="n">
        <v>2.6</v>
      </c>
      <c r="O38" s="1" t="n">
        <v>1981</v>
      </c>
      <c r="P38" s="1" t="n">
        <v>100000</v>
      </c>
      <c r="Q38" s="1" t="n">
        <v>100000</v>
      </c>
      <c r="R38" s="1" t="s">
        <v>43</v>
      </c>
      <c r="S38" s="1" t="s">
        <v>44</v>
      </c>
      <c r="V38" s="1" t="s">
        <v>45</v>
      </c>
      <c r="W38" s="1" t="s">
        <v>46</v>
      </c>
      <c r="X38" s="1" t="s">
        <v>39</v>
      </c>
      <c r="Y38" s="1" t="n">
        <v>24.3</v>
      </c>
      <c r="Z38" s="3" t="s">
        <v>47</v>
      </c>
      <c r="AA38" s="1" t="n">
        <v>13</v>
      </c>
      <c r="AB38" s="1" t="n">
        <v>4.2</v>
      </c>
      <c r="AC38" s="0" t="n">
        <v>0</v>
      </c>
      <c r="AD38" s="0" t="n">
        <v>5</v>
      </c>
      <c r="AE38" s="0" t="n">
        <v>14</v>
      </c>
    </row>
    <row r="39" customFormat="false" ht="15" hidden="false" customHeight="false" outlineLevel="0" collapsed="false">
      <c r="A39" s="1" t="s">
        <v>267</v>
      </c>
      <c r="B39" s="1" t="s">
        <v>269</v>
      </c>
      <c r="C39" s="1" t="n">
        <v>3.5</v>
      </c>
      <c r="D39" s="1" t="n">
        <v>1500</v>
      </c>
      <c r="E39" s="1" t="n">
        <v>-3</v>
      </c>
      <c r="F39" s="1" t="n">
        <f aca="false">ROUND((C39-AVERAGE(C2:C237))/AVERAGE(C2:C237) * 100,0)</f>
        <v>-4</v>
      </c>
      <c r="G39" s="1" t="s">
        <v>270</v>
      </c>
      <c r="H39" s="1" t="n">
        <v>3.5</v>
      </c>
      <c r="I39" s="1" t="n">
        <v>3.7</v>
      </c>
      <c r="J39" s="1" t="n">
        <v>3.6</v>
      </c>
      <c r="K39" s="1" t="n">
        <v>3.3</v>
      </c>
      <c r="L39" s="1" t="n">
        <v>3.5</v>
      </c>
      <c r="M39" s="1" t="n">
        <v>3</v>
      </c>
      <c r="N39" s="1" t="n">
        <v>3</v>
      </c>
      <c r="O39" s="1" t="n">
        <v>2012</v>
      </c>
      <c r="P39" s="1" t="n">
        <v>5000</v>
      </c>
      <c r="Q39" s="1" t="n">
        <v>10000</v>
      </c>
      <c r="R39" s="1" t="s">
        <v>271</v>
      </c>
      <c r="S39" s="1" t="s">
        <v>44</v>
      </c>
      <c r="U39" s="3" t="s">
        <v>272</v>
      </c>
      <c r="V39" s="1" t="s">
        <v>273</v>
      </c>
      <c r="W39" s="1" t="s">
        <v>274</v>
      </c>
      <c r="X39" s="1" t="s">
        <v>39</v>
      </c>
      <c r="Y39" s="1" t="n">
        <v>22.4</v>
      </c>
      <c r="Z39" s="3" t="s">
        <v>275</v>
      </c>
      <c r="AA39" s="1" t="n">
        <v>13</v>
      </c>
      <c r="AB39" s="1" t="n">
        <v>2.8</v>
      </c>
      <c r="AC39" s="0" t="n">
        <v>3</v>
      </c>
      <c r="AD39" s="0" t="n">
        <v>6</v>
      </c>
      <c r="AE39" s="0" t="n">
        <v>20</v>
      </c>
    </row>
    <row r="40" customFormat="false" ht="15" hidden="false" customHeight="false" outlineLevel="0" collapsed="false">
      <c r="A40" s="1" t="s">
        <v>267</v>
      </c>
      <c r="B40" s="1" t="s">
        <v>276</v>
      </c>
      <c r="C40" s="1" t="s">
        <v>277</v>
      </c>
      <c r="D40" s="1" t="s">
        <v>277</v>
      </c>
      <c r="E40" s="1" t="s">
        <v>277</v>
      </c>
      <c r="F40" s="1" t="s">
        <v>277</v>
      </c>
      <c r="G40" s="1" t="s">
        <v>278</v>
      </c>
      <c r="H40" s="1" t="s">
        <v>277</v>
      </c>
      <c r="I40" s="1" t="s">
        <v>277</v>
      </c>
      <c r="J40" s="1" t="s">
        <v>277</v>
      </c>
      <c r="K40" s="1" t="s">
        <v>277</v>
      </c>
      <c r="L40" s="1" t="s">
        <v>277</v>
      </c>
      <c r="M40" s="1" t="s">
        <v>277</v>
      </c>
      <c r="N40" s="1" t="s">
        <v>277</v>
      </c>
      <c r="O40" s="1" t="n">
        <v>2017</v>
      </c>
      <c r="P40" s="1" t="s">
        <v>277</v>
      </c>
      <c r="Q40" s="1" t="n">
        <v>50</v>
      </c>
      <c r="R40" s="1" t="s">
        <v>279</v>
      </c>
      <c r="S40" s="1" t="s">
        <v>210</v>
      </c>
      <c r="U40" s="3" t="s">
        <v>280</v>
      </c>
      <c r="V40" s="1" t="s">
        <v>281</v>
      </c>
      <c r="W40" s="1" t="s">
        <v>282</v>
      </c>
      <c r="X40" s="1" t="s">
        <v>277</v>
      </c>
      <c r="Y40" s="1" t="s">
        <v>277</v>
      </c>
      <c r="Z40" s="1" t="s">
        <v>277</v>
      </c>
      <c r="AA40" s="1" t="n">
        <v>13</v>
      </c>
      <c r="AB40" s="1" t="n">
        <v>1.8</v>
      </c>
      <c r="AC40" s="0" t="n">
        <v>21</v>
      </c>
      <c r="AD40" s="0" t="n">
        <v>36</v>
      </c>
      <c r="AE40" s="0" t="n">
        <v>81</v>
      </c>
    </row>
    <row r="41" customFormat="false" ht="16.4" hidden="false" customHeight="false" outlineLevel="0" collapsed="false">
      <c r="A41" s="1" t="s">
        <v>267</v>
      </c>
      <c r="B41" s="1" t="s">
        <v>48</v>
      </c>
      <c r="C41" s="1" t="n">
        <v>3.7</v>
      </c>
      <c r="D41" s="1" t="n">
        <v>74800</v>
      </c>
      <c r="E41" s="1" t="n">
        <v>3</v>
      </c>
      <c r="F41" s="1" t="n">
        <f aca="false">ROUND((C41-AVERAGE(C2:C239))/AVERAGE(C2:C239) * 100,0)</f>
        <v>1</v>
      </c>
      <c r="G41" s="1" t="s">
        <v>49</v>
      </c>
      <c r="H41" s="1" t="n">
        <v>3.7</v>
      </c>
      <c r="I41" s="1" t="n">
        <v>3.2</v>
      </c>
      <c r="J41" s="1" t="n">
        <v>3.6</v>
      </c>
      <c r="K41" s="1" t="n">
        <v>3.4</v>
      </c>
      <c r="L41" s="1" t="n">
        <v>3.6</v>
      </c>
      <c r="M41" s="1" t="n">
        <v>3.6</v>
      </c>
      <c r="N41" s="1" t="n">
        <v>2.8</v>
      </c>
      <c r="O41" s="1" t="n">
        <v>1989</v>
      </c>
      <c r="P41" s="1" t="n">
        <v>300000</v>
      </c>
      <c r="Q41" s="1" t="n">
        <v>799000</v>
      </c>
      <c r="R41" s="1" t="s">
        <v>50</v>
      </c>
      <c r="S41" s="1" t="s">
        <v>44</v>
      </c>
      <c r="T41" s="1" t="s">
        <v>51</v>
      </c>
      <c r="V41" s="1" t="s">
        <v>52</v>
      </c>
      <c r="W41" s="1" t="s">
        <v>53</v>
      </c>
      <c r="X41" s="1" t="s">
        <v>54</v>
      </c>
      <c r="Y41" s="1" t="n">
        <v>26.9</v>
      </c>
      <c r="Z41" s="3" t="s">
        <v>55</v>
      </c>
      <c r="AA41" s="1" t="n">
        <v>13</v>
      </c>
      <c r="AB41" s="1" t="n">
        <v>4</v>
      </c>
      <c r="AC41" s="0" t="n">
        <v>3</v>
      </c>
      <c r="AD41" s="0" t="n">
        <v>6</v>
      </c>
      <c r="AE41" s="0" t="n">
        <v>12</v>
      </c>
    </row>
    <row r="42" customFormat="false" ht="16.4" hidden="false" customHeight="false" outlineLevel="0" collapsed="false">
      <c r="A42" s="1" t="s">
        <v>267</v>
      </c>
      <c r="B42" s="1" t="s">
        <v>56</v>
      </c>
      <c r="C42" s="1" t="n">
        <v>3.7</v>
      </c>
      <c r="D42" s="1" t="n">
        <v>62400</v>
      </c>
      <c r="E42" s="1" t="n">
        <v>0</v>
      </c>
      <c r="F42" s="1" t="n">
        <f aca="false">ROUND((C42-AVERAGE(C2:C240))/AVERAGE(C2:C240) * 100,0)</f>
        <v>1</v>
      </c>
      <c r="G42" s="1" t="s">
        <v>57</v>
      </c>
      <c r="H42" s="1" t="n">
        <v>3.5</v>
      </c>
      <c r="I42" s="1" t="n">
        <v>3.2</v>
      </c>
      <c r="J42" s="1" t="n">
        <v>3.6</v>
      </c>
      <c r="K42" s="1" t="n">
        <v>3.4</v>
      </c>
      <c r="L42" s="1" t="n">
        <v>3.6</v>
      </c>
      <c r="M42" s="1" t="n">
        <v>3.6</v>
      </c>
      <c r="N42" s="1" t="n">
        <v>2.9</v>
      </c>
      <c r="O42" s="1" t="n">
        <v>1994</v>
      </c>
      <c r="P42" s="1" t="n">
        <v>256000</v>
      </c>
      <c r="Q42" s="1" t="n">
        <v>357600</v>
      </c>
      <c r="R42" s="1" t="s">
        <v>58</v>
      </c>
      <c r="S42" s="1" t="s">
        <v>44</v>
      </c>
      <c r="T42" s="1" t="s">
        <v>59</v>
      </c>
      <c r="V42" s="1" t="s">
        <v>60</v>
      </c>
      <c r="W42" s="1" t="s">
        <v>61</v>
      </c>
      <c r="X42" s="1" t="s">
        <v>39</v>
      </c>
      <c r="Y42" s="1" t="n">
        <v>28.3</v>
      </c>
      <c r="Z42" s="3" t="s">
        <v>62</v>
      </c>
      <c r="AA42" s="1" t="n">
        <v>13</v>
      </c>
      <c r="AB42" s="1" t="n">
        <v>4.3</v>
      </c>
      <c r="AC42" s="0" t="n">
        <v>1</v>
      </c>
      <c r="AD42" s="0" t="n">
        <v>3</v>
      </c>
      <c r="AE42" s="0" t="n">
        <v>9</v>
      </c>
    </row>
    <row r="43" customFormat="false" ht="15" hidden="false" customHeight="false" outlineLevel="0" collapsed="false">
      <c r="A43" s="1" t="s">
        <v>267</v>
      </c>
      <c r="B43" s="1" t="s">
        <v>92</v>
      </c>
      <c r="C43" s="1" t="n">
        <v>3.9</v>
      </c>
      <c r="D43" s="1" t="n">
        <v>26100</v>
      </c>
      <c r="E43" s="1" t="n">
        <v>8</v>
      </c>
      <c r="F43" s="1" t="n">
        <f aca="false">ROUND((C43-AVERAGE(C2:C241))/AVERAGE(C2:C241) * 100,0)</f>
        <v>6</v>
      </c>
      <c r="G43" s="1" t="s">
        <v>93</v>
      </c>
      <c r="H43" s="1" t="n">
        <v>3.9</v>
      </c>
      <c r="I43" s="1" t="n">
        <v>3.5</v>
      </c>
      <c r="J43" s="1" t="n">
        <v>4</v>
      </c>
      <c r="K43" s="1" t="n">
        <v>3.6</v>
      </c>
      <c r="L43" s="1" t="n">
        <v>3.9</v>
      </c>
      <c r="M43" s="1" t="n">
        <v>3.9</v>
      </c>
      <c r="N43" s="1" t="n">
        <v>3</v>
      </c>
      <c r="O43" s="1" t="n">
        <v>1911</v>
      </c>
      <c r="P43" s="1" t="n">
        <v>135000</v>
      </c>
      <c r="Q43" s="1" t="n">
        <v>268000</v>
      </c>
      <c r="R43" s="1" t="s">
        <v>88</v>
      </c>
      <c r="S43" s="1" t="s">
        <v>44</v>
      </c>
      <c r="T43" s="1" t="s">
        <v>73</v>
      </c>
      <c r="V43" s="1" t="s">
        <v>89</v>
      </c>
      <c r="W43" s="1" t="s">
        <v>94</v>
      </c>
      <c r="X43" s="1" t="s">
        <v>39</v>
      </c>
      <c r="Y43" s="1" t="n">
        <v>35.2</v>
      </c>
      <c r="Z43" s="3" t="s">
        <v>95</v>
      </c>
      <c r="AA43" s="1" t="n">
        <v>13</v>
      </c>
      <c r="AB43" s="1" t="n">
        <v>5.7</v>
      </c>
      <c r="AC43" s="0" t="n">
        <v>8</v>
      </c>
      <c r="AD43" s="0" t="n">
        <v>9</v>
      </c>
      <c r="AE43" s="0" t="n">
        <v>10</v>
      </c>
    </row>
    <row r="44" customFormat="false" ht="15" hidden="false" customHeight="false" outlineLevel="0" collapsed="false">
      <c r="A44" s="1" t="s">
        <v>267</v>
      </c>
      <c r="B44" s="1" t="s">
        <v>86</v>
      </c>
      <c r="C44" s="1" t="n">
        <v>3.7</v>
      </c>
      <c r="D44" s="1" t="n">
        <v>163</v>
      </c>
      <c r="E44" s="1" t="n">
        <v>0</v>
      </c>
      <c r="F44" s="1" t="n">
        <f aca="false">ROUND((C44-AVERAGE(C2:C242))/AVERAGE(C2:C242) * 100,0)</f>
        <v>1</v>
      </c>
      <c r="G44" s="1" t="s">
        <v>87</v>
      </c>
      <c r="H44" s="1" t="n">
        <v>3.6</v>
      </c>
      <c r="I44" s="1" t="n">
        <v>3.3</v>
      </c>
      <c r="J44" s="1" t="n">
        <v>4</v>
      </c>
      <c r="K44" s="1" t="n">
        <v>3.4</v>
      </c>
      <c r="L44" s="1" t="n">
        <v>3.8</v>
      </c>
      <c r="M44" s="1" t="n">
        <v>3.7</v>
      </c>
      <c r="N44" s="1" t="n">
        <v>2.7</v>
      </c>
      <c r="O44" s="1" t="n">
        <v>1991</v>
      </c>
      <c r="P44" s="1" t="n">
        <v>50000</v>
      </c>
      <c r="Q44" s="1" t="n">
        <v>160000</v>
      </c>
      <c r="R44" s="1" t="s">
        <v>88</v>
      </c>
      <c r="S44" s="1" t="s">
        <v>44</v>
      </c>
      <c r="V44" s="1" t="s">
        <v>89</v>
      </c>
      <c r="W44" s="1" t="s">
        <v>90</v>
      </c>
      <c r="X44" s="1" t="s">
        <v>39</v>
      </c>
      <c r="Y44" s="1" t="n">
        <v>47.3</v>
      </c>
      <c r="Z44" s="3" t="s">
        <v>91</v>
      </c>
      <c r="AA44" s="1" t="n">
        <v>13</v>
      </c>
      <c r="AB44" s="1" t="n">
        <v>5.7</v>
      </c>
      <c r="AC44" s="0" t="n">
        <v>8</v>
      </c>
      <c r="AD44" s="0" t="n">
        <v>9</v>
      </c>
      <c r="AE44" s="0" t="n">
        <v>10</v>
      </c>
    </row>
    <row r="45" customFormat="false" ht="16.4" hidden="false" customHeight="false" outlineLevel="0" collapsed="false">
      <c r="A45" s="1" t="s">
        <v>283</v>
      </c>
      <c r="B45" s="1" t="s">
        <v>63</v>
      </c>
      <c r="C45" s="1" t="n">
        <v>3.9</v>
      </c>
      <c r="D45" s="1" t="n">
        <v>4800</v>
      </c>
      <c r="E45" s="1" t="n">
        <v>8</v>
      </c>
      <c r="F45" s="1" t="n">
        <f aca="false">ROUND((C45-AVERAGE(C41:C243))/AVERAGE(C41:C243) * 100,0)</f>
        <v>9</v>
      </c>
      <c r="G45" s="1" t="s">
        <v>64</v>
      </c>
      <c r="H45" s="1" t="n">
        <v>3.9</v>
      </c>
      <c r="I45" s="1" t="n">
        <v>3.7</v>
      </c>
      <c r="J45" s="1" t="n">
        <v>3.6</v>
      </c>
      <c r="K45" s="1" t="n">
        <v>3.6</v>
      </c>
      <c r="L45" s="1" t="n">
        <v>3.7</v>
      </c>
      <c r="M45" s="1" t="n">
        <v>3.6</v>
      </c>
      <c r="N45" s="1" t="n">
        <v>3.3</v>
      </c>
      <c r="O45" s="1" t="n">
        <v>1996</v>
      </c>
      <c r="P45" s="1" t="n">
        <v>13000</v>
      </c>
      <c r="Q45" s="1" t="n">
        <v>18500</v>
      </c>
      <c r="R45" s="1" t="s">
        <v>65</v>
      </c>
      <c r="S45" s="1" t="s">
        <v>44</v>
      </c>
      <c r="T45" s="1" t="s">
        <v>66</v>
      </c>
      <c r="V45" s="1" t="s">
        <v>67</v>
      </c>
      <c r="W45" s="1" t="s">
        <v>68</v>
      </c>
      <c r="X45" s="1" t="s">
        <v>39</v>
      </c>
      <c r="Y45" s="1" t="n">
        <v>39.6</v>
      </c>
      <c r="Z45" s="3" t="s">
        <v>69</v>
      </c>
      <c r="AA45" s="1" t="n">
        <v>13</v>
      </c>
      <c r="AB45" s="1" t="n">
        <v>3.8</v>
      </c>
      <c r="AC45" s="0" t="n">
        <v>3</v>
      </c>
      <c r="AD45" s="0" t="n">
        <v>6</v>
      </c>
      <c r="AE45" s="0" t="n">
        <v>10</v>
      </c>
    </row>
    <row r="46" customFormat="false" ht="15" hidden="false" customHeight="false" outlineLevel="0" collapsed="false">
      <c r="A46" s="1" t="s">
        <v>283</v>
      </c>
      <c r="B46" s="1" t="s">
        <v>70</v>
      </c>
      <c r="C46" s="1" t="n">
        <v>4.1</v>
      </c>
      <c r="D46" s="1" t="n">
        <v>3900</v>
      </c>
      <c r="E46" s="1" t="n">
        <v>11</v>
      </c>
      <c r="F46" s="1" t="n">
        <f aca="false">ROUND((C46-AVERAGE(C2:C244))/AVERAGE(C2:C244) * 100,0)</f>
        <v>12</v>
      </c>
      <c r="G46" s="1" t="s">
        <v>71</v>
      </c>
      <c r="H46" s="1" t="n">
        <v>4.1</v>
      </c>
      <c r="I46" s="1" t="n">
        <v>4</v>
      </c>
      <c r="J46" s="1" t="n">
        <v>4.1</v>
      </c>
      <c r="K46" s="1" t="n">
        <v>3.8</v>
      </c>
      <c r="L46" s="1" t="n">
        <v>3.7</v>
      </c>
      <c r="M46" s="1" t="n">
        <v>4</v>
      </c>
      <c r="N46" s="1" t="n">
        <v>3.3</v>
      </c>
      <c r="O46" s="1" t="n">
        <v>1850</v>
      </c>
      <c r="P46" s="1" t="n">
        <v>15000</v>
      </c>
      <c r="Q46" s="1" t="n">
        <v>76800</v>
      </c>
      <c r="R46" s="1" t="s">
        <v>72</v>
      </c>
      <c r="S46" s="1" t="s">
        <v>73</v>
      </c>
      <c r="T46" s="1" t="s">
        <v>74</v>
      </c>
      <c r="V46" s="1" t="s">
        <v>75</v>
      </c>
      <c r="W46" s="1" t="s">
        <v>76</v>
      </c>
      <c r="X46" s="1" t="s">
        <v>39</v>
      </c>
      <c r="Y46" s="1" t="n">
        <v>49.8</v>
      </c>
      <c r="Z46" s="3" t="s">
        <v>77</v>
      </c>
      <c r="AA46" s="1" t="n">
        <v>13</v>
      </c>
      <c r="AB46" s="1" t="n">
        <v>4.3</v>
      </c>
      <c r="AC46" s="0" t="n">
        <v>14</v>
      </c>
      <c r="AD46" s="0" t="n">
        <v>20</v>
      </c>
      <c r="AE46" s="0" t="n">
        <v>28</v>
      </c>
    </row>
    <row r="47" customFormat="false" ht="15" hidden="false" customHeight="false" outlineLevel="0" collapsed="false">
      <c r="A47" s="1" t="s">
        <v>283</v>
      </c>
      <c r="B47" s="1" t="s">
        <v>97</v>
      </c>
      <c r="C47" s="1" t="n">
        <v>3</v>
      </c>
      <c r="D47" s="1" t="n">
        <v>2800</v>
      </c>
      <c r="E47" s="1" t="n">
        <v>-17</v>
      </c>
      <c r="F47" s="1" t="n">
        <f aca="false">ROUND((C47-AVERAGE(C2:C245))/AVERAGE(C2:C245) * 100,0)</f>
        <v>-18</v>
      </c>
      <c r="G47" s="1" t="s">
        <v>98</v>
      </c>
      <c r="H47" s="1" t="n">
        <v>3.1</v>
      </c>
      <c r="I47" s="1" t="n">
        <v>3.6</v>
      </c>
      <c r="J47" s="1" t="n">
        <v>2</v>
      </c>
      <c r="K47" s="1" t="n">
        <v>2.7</v>
      </c>
      <c r="L47" s="1" t="n">
        <v>3.1</v>
      </c>
      <c r="M47" s="1" t="n">
        <v>3.2</v>
      </c>
      <c r="N47" s="1" t="n">
        <v>3</v>
      </c>
      <c r="O47" s="1" t="n">
        <v>1983</v>
      </c>
      <c r="P47" s="1" t="n">
        <v>10400</v>
      </c>
      <c r="Q47" s="1" t="n">
        <v>15000</v>
      </c>
      <c r="R47" s="1" t="s">
        <v>99</v>
      </c>
      <c r="S47" s="1" t="s">
        <v>100</v>
      </c>
      <c r="T47" s="1" t="s">
        <v>44</v>
      </c>
      <c r="V47" s="1" t="s">
        <v>101</v>
      </c>
      <c r="W47" s="1" t="s">
        <v>102</v>
      </c>
      <c r="X47" s="1" t="s">
        <v>39</v>
      </c>
      <c r="Y47" s="1" t="n">
        <v>46.3</v>
      </c>
      <c r="Z47" s="3" t="s">
        <v>103</v>
      </c>
      <c r="AA47" s="1" t="n">
        <v>13</v>
      </c>
      <c r="AB47" s="1" t="n">
        <v>1.8</v>
      </c>
      <c r="AC47" s="0" t="n">
        <v>4</v>
      </c>
      <c r="AD47" s="0" t="n">
        <v>32</v>
      </c>
      <c r="AE47" s="0" t="n">
        <v>53</v>
      </c>
    </row>
    <row r="48" customFormat="false" ht="15" hidden="false" customHeight="false" outlineLevel="0" collapsed="false">
      <c r="A48" s="1" t="s">
        <v>283</v>
      </c>
      <c r="B48" s="1" t="s">
        <v>284</v>
      </c>
      <c r="C48" s="1" t="n">
        <v>3.5</v>
      </c>
      <c r="D48" s="1" t="n">
        <v>694</v>
      </c>
      <c r="E48" s="1" t="n">
        <v>0</v>
      </c>
      <c r="F48" s="1" t="n">
        <f aca="false">ROUND((C48-AVERAGE(C2:C246))/AVERAGE(C2:C246) * 100,0)</f>
        <v>-4</v>
      </c>
      <c r="G48" s="1" t="s">
        <v>285</v>
      </c>
      <c r="H48" s="1" t="n">
        <v>3.6</v>
      </c>
      <c r="I48" s="1" t="n">
        <v>3.2</v>
      </c>
      <c r="J48" s="1" t="n">
        <v>3.6</v>
      </c>
      <c r="K48" s="1" t="n">
        <v>3.4</v>
      </c>
      <c r="L48" s="1" t="n">
        <v>3.3</v>
      </c>
      <c r="M48" s="1" t="n">
        <v>3.3</v>
      </c>
      <c r="N48" s="1" t="n">
        <v>3.1</v>
      </c>
      <c r="O48" s="1" t="n">
        <v>1989</v>
      </c>
      <c r="P48" s="1" t="n">
        <v>950</v>
      </c>
      <c r="Q48" s="1" t="n">
        <v>1300</v>
      </c>
      <c r="R48" s="1" t="s">
        <v>286</v>
      </c>
      <c r="S48" s="1" t="s">
        <v>210</v>
      </c>
      <c r="U48" s="1" t="s">
        <v>287</v>
      </c>
      <c r="V48" s="1" t="s">
        <v>288</v>
      </c>
      <c r="W48" s="3" t="s">
        <v>289</v>
      </c>
      <c r="X48" s="1" t="s">
        <v>290</v>
      </c>
      <c r="Y48" s="1" t="n">
        <v>44.3</v>
      </c>
      <c r="Z48" s="3" t="s">
        <v>291</v>
      </c>
      <c r="AA48" s="1" t="n">
        <v>13</v>
      </c>
      <c r="AB48" s="1" t="n">
        <v>2.3</v>
      </c>
      <c r="AC48" s="0" t="n">
        <v>7</v>
      </c>
      <c r="AD48" s="0" t="n">
        <v>8</v>
      </c>
      <c r="AE48" s="0" t="n">
        <v>40</v>
      </c>
    </row>
    <row r="49" customFormat="false" ht="15" hidden="false" customHeight="false" outlineLevel="0" collapsed="false">
      <c r="A49" s="1" t="s">
        <v>283</v>
      </c>
      <c r="B49" s="1" t="s">
        <v>292</v>
      </c>
      <c r="C49" s="1" t="n">
        <v>2.8</v>
      </c>
      <c r="D49" s="1" t="n">
        <v>119</v>
      </c>
      <c r="E49" s="1" t="n">
        <v>-22</v>
      </c>
      <c r="F49" s="1" t="n">
        <f aca="false">ROUND((C49-AVERAGE(C2:C247))/AVERAGE(C2:C247) * 100,0)</f>
        <v>-24</v>
      </c>
      <c r="G49" s="1" t="s">
        <v>293</v>
      </c>
      <c r="H49" s="1" t="n">
        <v>2.8</v>
      </c>
      <c r="I49" s="1" t="n">
        <v>2.6</v>
      </c>
      <c r="J49" s="1" t="n">
        <v>2.7</v>
      </c>
      <c r="K49" s="1" t="n">
        <v>2.7</v>
      </c>
      <c r="L49" s="1" t="n">
        <v>2.7</v>
      </c>
      <c r="M49" s="1" t="n">
        <v>2.7</v>
      </c>
      <c r="N49" s="1" t="n">
        <v>2.6</v>
      </c>
      <c r="O49" s="1" t="n">
        <v>2011</v>
      </c>
      <c r="P49" s="1" t="n">
        <v>150</v>
      </c>
      <c r="Q49" s="1" t="n">
        <v>150</v>
      </c>
      <c r="R49" s="1" t="s">
        <v>294</v>
      </c>
      <c r="S49" s="1" t="s">
        <v>44</v>
      </c>
      <c r="U49" s="1" t="s">
        <v>295</v>
      </c>
      <c r="V49" s="1" t="s">
        <v>296</v>
      </c>
      <c r="W49" s="3" t="s">
        <v>297</v>
      </c>
      <c r="X49" s="1" t="s">
        <v>213</v>
      </c>
      <c r="Y49" s="1" t="n">
        <v>12.2</v>
      </c>
      <c r="Z49" s="3" t="s">
        <v>298</v>
      </c>
      <c r="AA49" s="1" t="n">
        <v>13</v>
      </c>
      <c r="AB49" s="1" t="n">
        <v>5.2</v>
      </c>
      <c r="AC49" s="0" t="n">
        <v>-3</v>
      </c>
      <c r="AD49" s="0" t="n">
        <v>-3</v>
      </c>
      <c r="AE49" s="0" t="n">
        <v>-1</v>
      </c>
    </row>
    <row r="50" customFormat="false" ht="15" hidden="false" customHeight="false" outlineLevel="0" collapsed="false">
      <c r="A50" s="1" t="s">
        <v>283</v>
      </c>
      <c r="B50" s="1" t="s">
        <v>299</v>
      </c>
      <c r="C50" s="1" t="n">
        <v>3.8</v>
      </c>
      <c r="D50" s="1" t="n">
        <v>223</v>
      </c>
      <c r="E50" s="1" t="n">
        <v>6</v>
      </c>
      <c r="F50" s="1" t="n">
        <f aca="false">ROUND((C50-AVERAGE(C2:C248))/AVERAGE(C2:C248) * 100,0)</f>
        <v>4</v>
      </c>
      <c r="G50" s="1" t="s">
        <v>300</v>
      </c>
      <c r="H50" s="1" t="n">
        <v>3.8</v>
      </c>
      <c r="I50" s="1" t="n">
        <v>3.7</v>
      </c>
      <c r="J50" s="1" t="n">
        <v>3.6</v>
      </c>
      <c r="K50" s="1" t="n">
        <v>3.7</v>
      </c>
      <c r="L50" s="1" t="n">
        <v>4</v>
      </c>
      <c r="M50" s="1" t="n">
        <v>3.3</v>
      </c>
      <c r="N50" s="1" t="n">
        <v>3.5</v>
      </c>
      <c r="O50" s="1" t="n">
        <v>2009</v>
      </c>
      <c r="P50" s="1" t="n">
        <v>250</v>
      </c>
      <c r="Q50" s="1" t="n">
        <v>250</v>
      </c>
      <c r="R50" s="1" t="s">
        <v>301</v>
      </c>
      <c r="S50" s="1" t="s">
        <v>44</v>
      </c>
      <c r="T50" s="1" t="s">
        <v>154</v>
      </c>
      <c r="U50" s="1" t="s">
        <v>302</v>
      </c>
      <c r="V50" s="1" t="s">
        <v>303</v>
      </c>
      <c r="W50" s="3" t="s">
        <v>304</v>
      </c>
      <c r="X50" s="1" t="s">
        <v>305</v>
      </c>
      <c r="Y50" s="1" t="n">
        <v>37</v>
      </c>
      <c r="Z50" s="3" t="s">
        <v>306</v>
      </c>
      <c r="AA50" s="1" t="n">
        <v>13</v>
      </c>
      <c r="AB50" s="1" t="n">
        <v>4.1</v>
      </c>
      <c r="AC50" s="0" t="n">
        <v>5</v>
      </c>
      <c r="AD50" s="0" t="n">
        <v>2</v>
      </c>
      <c r="AE50" s="0" t="n">
        <v>12</v>
      </c>
    </row>
    <row r="51" customFormat="false" ht="15" hidden="false" customHeight="false" outlineLevel="0" collapsed="false">
      <c r="A51" s="1" t="s">
        <v>283</v>
      </c>
      <c r="B51" s="1" t="s">
        <v>307</v>
      </c>
      <c r="C51" s="1" t="n">
        <v>3.2</v>
      </c>
      <c r="D51" s="1" t="n">
        <v>386</v>
      </c>
      <c r="E51" s="1" t="n">
        <v>-11</v>
      </c>
      <c r="F51" s="1" t="n">
        <f aca="false">ROUND((C51-AVERAGE(C2:C249))/AVERAGE(C2:C249) * 100,0)</f>
        <v>-13</v>
      </c>
      <c r="G51" s="1" t="s">
        <v>308</v>
      </c>
      <c r="H51" s="1" t="n">
        <v>3</v>
      </c>
      <c r="I51" s="1" t="n">
        <v>3.2</v>
      </c>
      <c r="J51" s="1" t="n">
        <v>3.1</v>
      </c>
      <c r="K51" s="1" t="n">
        <v>2.9</v>
      </c>
      <c r="L51" s="1" t="n">
        <v>2.8</v>
      </c>
      <c r="M51" s="1" t="n">
        <v>3</v>
      </c>
      <c r="N51" s="1" t="n">
        <v>2.6</v>
      </c>
      <c r="O51" s="1" t="n">
        <v>2000</v>
      </c>
      <c r="P51" s="1" t="n">
        <v>1000</v>
      </c>
      <c r="Q51" s="1" t="n">
        <v>2200</v>
      </c>
      <c r="R51" s="1" t="s">
        <v>309</v>
      </c>
      <c r="S51" s="1" t="s">
        <v>154</v>
      </c>
      <c r="T51" s="1" t="s">
        <v>310</v>
      </c>
      <c r="U51" s="1" t="s">
        <v>311</v>
      </c>
      <c r="V51" s="1" t="s">
        <v>312</v>
      </c>
      <c r="W51" s="3" t="s">
        <v>313</v>
      </c>
      <c r="X51" s="3" t="s">
        <v>314</v>
      </c>
      <c r="Y51" s="1" t="n">
        <v>22.8</v>
      </c>
      <c r="Z51" s="3" t="s">
        <v>315</v>
      </c>
      <c r="AA51" s="1" t="n">
        <v>13</v>
      </c>
      <c r="AB51" s="1" t="n">
        <v>4.8</v>
      </c>
      <c r="AC51" s="0" t="n">
        <v>0</v>
      </c>
      <c r="AD51" s="0" t="n">
        <v>0</v>
      </c>
      <c r="AE51" s="0" t="n">
        <v>-2</v>
      </c>
    </row>
    <row r="52" customFormat="false" ht="15" hidden="false" customHeight="false" outlineLevel="0" collapsed="false">
      <c r="A52" s="1" t="s">
        <v>316</v>
      </c>
      <c r="B52" s="1" t="s">
        <v>317</v>
      </c>
      <c r="C52" s="1" t="n">
        <v>3.7</v>
      </c>
      <c r="D52" s="1" t="n">
        <v>6200</v>
      </c>
      <c r="E52" s="1" t="n">
        <v>3</v>
      </c>
      <c r="F52" s="1" t="n">
        <f aca="false">ROUND((C52-AVERAGE(C2:C250))/AVERAGE(C2:C250) * 100,0)</f>
        <v>1</v>
      </c>
      <c r="G52" s="3" t="s">
        <v>318</v>
      </c>
      <c r="H52" s="1" t="n">
        <v>3.5</v>
      </c>
      <c r="I52" s="1" t="n">
        <v>3.4</v>
      </c>
      <c r="J52" s="1" t="n">
        <v>3.7</v>
      </c>
      <c r="K52" s="1" t="n">
        <v>3.4</v>
      </c>
      <c r="L52" s="1" t="n">
        <v>3.6</v>
      </c>
      <c r="M52" s="1" t="n">
        <v>3.4</v>
      </c>
      <c r="N52" s="1" t="n">
        <v>2.9</v>
      </c>
      <c r="O52" s="1" t="n">
        <v>1996</v>
      </c>
      <c r="P52" s="1" t="n">
        <v>19095</v>
      </c>
      <c r="Q52" s="1" t="n">
        <v>36000</v>
      </c>
      <c r="R52" s="3" t="s">
        <v>319</v>
      </c>
      <c r="S52" s="3" t="s">
        <v>44</v>
      </c>
      <c r="U52" s="3" t="s">
        <v>320</v>
      </c>
      <c r="V52" s="1" t="s">
        <v>321</v>
      </c>
      <c r="W52" s="3" t="s">
        <v>322</v>
      </c>
      <c r="X52" s="3" t="s">
        <v>323</v>
      </c>
      <c r="Y52" s="1" t="n">
        <v>24.1</v>
      </c>
      <c r="Z52" s="3" t="s">
        <v>324</v>
      </c>
      <c r="AA52" s="1" t="n">
        <v>13</v>
      </c>
      <c r="AB52" s="1" t="n">
        <v>4.8</v>
      </c>
      <c r="AC52" s="0" t="n">
        <v>-4</v>
      </c>
      <c r="AD52" s="0" t="n">
        <v>-5</v>
      </c>
      <c r="AE52" s="0" t="n">
        <v>-15</v>
      </c>
    </row>
    <row r="53" customFormat="false" ht="15" hidden="false" customHeight="false" outlineLevel="0" collapsed="false">
      <c r="A53" s="1" t="s">
        <v>316</v>
      </c>
      <c r="B53" s="1" t="s">
        <v>276</v>
      </c>
      <c r="C53" s="1" t="n">
        <v>4.3</v>
      </c>
      <c r="D53" s="1" t="n">
        <v>19</v>
      </c>
      <c r="E53" s="3" t="s">
        <v>277</v>
      </c>
      <c r="F53" s="1" t="n">
        <f aca="false">ROUND((C53-AVERAGE(C2:C251))/AVERAGE(C2:C251) * 100,0)</f>
        <v>17</v>
      </c>
      <c r="G53" s="3" t="s">
        <v>325</v>
      </c>
      <c r="H53" s="1" t="n">
        <v>4.5</v>
      </c>
      <c r="I53" s="1" t="n">
        <v>3.8</v>
      </c>
      <c r="J53" s="1" t="n">
        <v>4.2</v>
      </c>
      <c r="K53" s="3" t="s">
        <v>277</v>
      </c>
      <c r="L53" s="3" t="s">
        <v>277</v>
      </c>
      <c r="M53" s="3" t="s">
        <v>277</v>
      </c>
      <c r="N53" s="3" t="s">
        <v>277</v>
      </c>
      <c r="O53" s="1" t="n">
        <v>2017</v>
      </c>
      <c r="P53" s="3" t="s">
        <v>277</v>
      </c>
      <c r="Q53" s="1" t="n">
        <v>50</v>
      </c>
      <c r="R53" s="3" t="s">
        <v>279</v>
      </c>
      <c r="S53" s="3" t="s">
        <v>210</v>
      </c>
      <c r="U53" s="3" t="s">
        <v>280</v>
      </c>
      <c r="V53" s="1" t="s">
        <v>281</v>
      </c>
      <c r="W53" s="3" t="s">
        <v>282</v>
      </c>
      <c r="X53" s="3" t="s">
        <v>277</v>
      </c>
      <c r="Y53" s="3" t="s">
        <v>277</v>
      </c>
      <c r="AA53" s="1" t="n">
        <v>13</v>
      </c>
      <c r="AB53" s="1" t="n">
        <v>1.8</v>
      </c>
      <c r="AC53" s="0" t="n">
        <v>21</v>
      </c>
      <c r="AD53" s="0" t="n">
        <v>36</v>
      </c>
      <c r="AE53" s="0" t="n">
        <v>81</v>
      </c>
    </row>
    <row r="54" customFormat="false" ht="15" hidden="false" customHeight="false" outlineLevel="0" collapsed="false">
      <c r="A54" s="1" t="s">
        <v>326</v>
      </c>
      <c r="B54" s="1" t="s">
        <v>327</v>
      </c>
      <c r="C54" s="1" t="n">
        <v>3.3</v>
      </c>
      <c r="D54" s="1" t="n">
        <v>9200</v>
      </c>
      <c r="E54" s="1" t="n">
        <v>-6</v>
      </c>
      <c r="F54" s="1" t="n">
        <f aca="false">ROUND((C54-AVERAGE(C2:C252))/AVERAGE(C2:C252) * 100,0)</f>
        <v>-10</v>
      </c>
      <c r="G54" s="1" t="s">
        <v>328</v>
      </c>
      <c r="H54" s="1" t="n">
        <v>3.3</v>
      </c>
      <c r="I54" s="1" t="n">
        <v>3.1</v>
      </c>
      <c r="J54" s="1" t="n">
        <v>3.3</v>
      </c>
      <c r="K54" s="1" t="n">
        <v>3.1</v>
      </c>
      <c r="L54" s="1" t="n">
        <v>3.1</v>
      </c>
      <c r="M54" s="1" t="n">
        <v>3.2</v>
      </c>
      <c r="N54" s="1" t="n">
        <v>2.7</v>
      </c>
      <c r="O54" s="1" t="n">
        <v>1986</v>
      </c>
      <c r="P54" s="1" t="n">
        <v>19000</v>
      </c>
      <c r="Q54" s="1" t="n">
        <v>66543</v>
      </c>
      <c r="R54" s="1" t="s">
        <v>329</v>
      </c>
      <c r="S54" s="1" t="s">
        <v>44</v>
      </c>
      <c r="U54" s="1" t="s">
        <v>330</v>
      </c>
      <c r="V54" s="1" t="s">
        <v>331</v>
      </c>
      <c r="W54" s="3" t="s">
        <v>332</v>
      </c>
      <c r="X54" s="3" t="s">
        <v>333</v>
      </c>
      <c r="Y54" s="1" t="n">
        <v>26.3</v>
      </c>
      <c r="Z54" s="3" t="s">
        <v>334</v>
      </c>
      <c r="AA54" s="1" t="n">
        <v>13</v>
      </c>
      <c r="AB54" s="1" t="n">
        <v>3.8</v>
      </c>
      <c r="AC54" s="0" t="n">
        <v>2</v>
      </c>
      <c r="AD54" s="0" t="n">
        <v>4</v>
      </c>
      <c r="AE54" s="0" t="n">
        <v>11</v>
      </c>
    </row>
    <row r="55" customFormat="false" ht="15" hidden="false" customHeight="false" outlineLevel="0" collapsed="false">
      <c r="A55" s="1" t="s">
        <v>335</v>
      </c>
      <c r="B55" s="1" t="s">
        <v>336</v>
      </c>
      <c r="C55" s="1" t="n">
        <v>3.7</v>
      </c>
      <c r="D55" s="1" t="n">
        <v>352</v>
      </c>
      <c r="E55" s="1" t="n">
        <v>3</v>
      </c>
      <c r="F55" s="1" t="n">
        <f aca="false">ROUND((C55-AVERAGE(C2:C253))/AVERAGE(C2:C253) * 100,0)</f>
        <v>1</v>
      </c>
      <c r="G55" s="1" t="s">
        <v>337</v>
      </c>
      <c r="H55" s="1" t="n">
        <v>3.8</v>
      </c>
      <c r="I55" s="1" t="n">
        <v>3.8</v>
      </c>
      <c r="J55" s="1" t="n">
        <v>3.4</v>
      </c>
      <c r="K55" s="1" t="n">
        <v>3.4</v>
      </c>
      <c r="L55" s="1" t="n">
        <v>3.5</v>
      </c>
      <c r="M55" s="1" t="n">
        <v>3.6</v>
      </c>
      <c r="N55" s="1" t="n">
        <v>3.3</v>
      </c>
      <c r="O55" s="1" t="n">
        <v>1973</v>
      </c>
      <c r="P55" s="1" t="n">
        <v>3500</v>
      </c>
      <c r="Q55" s="1" t="n">
        <v>23000</v>
      </c>
      <c r="R55" s="1" t="s">
        <v>338</v>
      </c>
      <c r="S55" s="3" t="s">
        <v>100</v>
      </c>
      <c r="T55" s="1" t="s">
        <v>59</v>
      </c>
      <c r="U55" s="1" t="s">
        <v>339</v>
      </c>
      <c r="V55" s="1" t="s">
        <v>340</v>
      </c>
      <c r="W55" s="3" t="s">
        <v>341</v>
      </c>
      <c r="X55" s="3" t="s">
        <v>342</v>
      </c>
      <c r="Y55" s="1" t="n">
        <v>37.8</v>
      </c>
      <c r="Z55" s="3" t="s">
        <v>343</v>
      </c>
      <c r="AA55" s="1" t="n">
        <v>13</v>
      </c>
      <c r="AB55" s="1" t="n">
        <v>3.3</v>
      </c>
      <c r="AC55" s="0" t="n">
        <v>6</v>
      </c>
      <c r="AD55" s="0" t="n">
        <v>8</v>
      </c>
      <c r="AE55" s="0" t="n">
        <v>12</v>
      </c>
    </row>
    <row r="56" customFormat="false" ht="15" hidden="false" customHeight="false" outlineLevel="0" collapsed="false">
      <c r="A56" s="1" t="s">
        <v>335</v>
      </c>
      <c r="B56" s="1" t="s">
        <v>344</v>
      </c>
      <c r="C56" s="1" t="n">
        <v>3.4</v>
      </c>
      <c r="D56" s="1" t="n">
        <v>14900</v>
      </c>
      <c r="E56" s="1" t="n">
        <v>-6</v>
      </c>
      <c r="F56" s="1" t="n">
        <f aca="false">ROUND((C56-AVERAGE(C2:C254))/AVERAGE(C2:C254) * 100,0)</f>
        <v>-7</v>
      </c>
      <c r="G56" s="1" t="s">
        <v>345</v>
      </c>
      <c r="H56" s="1" t="n">
        <v>3.2</v>
      </c>
      <c r="I56" s="1" t="n">
        <v>3.2</v>
      </c>
      <c r="J56" s="1" t="n">
        <v>3</v>
      </c>
      <c r="K56" s="1" t="n">
        <v>3</v>
      </c>
      <c r="L56" s="1" t="n">
        <v>3.5</v>
      </c>
      <c r="M56" s="1" t="n">
        <v>3.6</v>
      </c>
      <c r="N56" s="1" t="n">
        <v>2.9</v>
      </c>
      <c r="O56" s="1" t="n">
        <v>2002</v>
      </c>
      <c r="P56" s="1" t="n">
        <v>120000</v>
      </c>
      <c r="Q56" s="1" t="n">
        <v>406000</v>
      </c>
      <c r="R56" s="1" t="s">
        <v>346</v>
      </c>
      <c r="S56" s="3" t="s">
        <v>100</v>
      </c>
      <c r="T56" s="1" t="s">
        <v>59</v>
      </c>
      <c r="U56" s="1" t="s">
        <v>347</v>
      </c>
      <c r="V56" s="1" t="s">
        <v>348</v>
      </c>
      <c r="W56" s="3" t="s">
        <v>349</v>
      </c>
      <c r="X56" s="1" t="s">
        <v>39</v>
      </c>
      <c r="Y56" s="1" t="n">
        <v>29.5</v>
      </c>
      <c r="Z56" s="3" t="s">
        <v>350</v>
      </c>
      <c r="AA56" s="1" t="n">
        <v>13</v>
      </c>
      <c r="AB56" s="1" t="n">
        <v>3.5</v>
      </c>
      <c r="AC56" s="0" t="n">
        <v>2</v>
      </c>
      <c r="AD56" s="0" t="n">
        <v>8</v>
      </c>
      <c r="AE56" s="0" t="n">
        <v>14</v>
      </c>
    </row>
    <row r="57" customFormat="false" ht="15" hidden="false" customHeight="false" outlineLevel="0" collapsed="false">
      <c r="A57" s="1" t="s">
        <v>351</v>
      </c>
      <c r="B57" s="1" t="s">
        <v>352</v>
      </c>
      <c r="C57" s="1" t="n">
        <v>3.2</v>
      </c>
      <c r="D57" s="1" t="n">
        <v>4100</v>
      </c>
      <c r="E57" s="1" t="n">
        <v>-11</v>
      </c>
      <c r="F57" s="1" t="n">
        <f aca="false">ROUND((C57-AVERAGE(C2:C255))/AVERAGE(C2:C255) * 100,0)</f>
        <v>-13</v>
      </c>
      <c r="G57" s="1" t="s">
        <v>353</v>
      </c>
      <c r="H57" s="1" t="n">
        <v>3.2</v>
      </c>
      <c r="I57" s="1" t="n">
        <v>3.4</v>
      </c>
      <c r="J57" s="1" t="n">
        <v>3.2</v>
      </c>
      <c r="K57" s="1" t="n">
        <v>3</v>
      </c>
      <c r="L57" s="1" t="n">
        <v>3.4</v>
      </c>
      <c r="M57" s="1" t="n">
        <v>2.8</v>
      </c>
      <c r="N57" s="1" t="n">
        <v>2.4</v>
      </c>
      <c r="O57" s="1" t="n">
        <v>1990</v>
      </c>
      <c r="P57" s="1" t="n">
        <v>10000</v>
      </c>
      <c r="Q57" s="1" t="n">
        <v>24370</v>
      </c>
      <c r="R57" s="1" t="s">
        <v>354</v>
      </c>
      <c r="S57" s="1" t="s">
        <v>44</v>
      </c>
      <c r="T57" s="1" t="s">
        <v>355</v>
      </c>
      <c r="U57" s="1" t="s">
        <v>339</v>
      </c>
      <c r="V57" s="1" t="s">
        <v>356</v>
      </c>
      <c r="W57" s="1" t="s">
        <v>357</v>
      </c>
      <c r="X57" s="1" t="s">
        <v>39</v>
      </c>
      <c r="Y57" s="1" t="n">
        <v>38.8</v>
      </c>
      <c r="Z57" s="3" t="s">
        <v>358</v>
      </c>
      <c r="AA57" s="1" t="n">
        <v>13</v>
      </c>
      <c r="AB57" s="1" t="n">
        <v>4</v>
      </c>
      <c r="AC57" s="0" t="n">
        <v>-3</v>
      </c>
      <c r="AD57" s="0" t="n">
        <v>-1</v>
      </c>
      <c r="AE57" s="0" t="n">
        <v>3</v>
      </c>
    </row>
    <row r="58" customFormat="false" ht="15" hidden="false" customHeight="false" outlineLevel="0" collapsed="false">
      <c r="A58" s="1" t="s">
        <v>351</v>
      </c>
      <c r="B58" s="1" t="s">
        <v>359</v>
      </c>
      <c r="C58" s="1" t="n">
        <v>3.5</v>
      </c>
      <c r="D58" s="1" t="n">
        <v>5200</v>
      </c>
      <c r="E58" s="1" t="n">
        <v>-3</v>
      </c>
      <c r="F58" s="1" t="n">
        <f aca="false">ROUND((C58-AVERAGE(C2:C256))/AVERAGE(C2:C256) * 100,0)</f>
        <v>-4</v>
      </c>
      <c r="G58" s="1" t="s">
        <v>360</v>
      </c>
      <c r="H58" s="1" t="n">
        <v>3.5</v>
      </c>
      <c r="I58" s="1" t="n">
        <v>3.3</v>
      </c>
      <c r="J58" s="1" t="n">
        <v>3.6</v>
      </c>
      <c r="K58" s="1" t="n">
        <v>3.3</v>
      </c>
      <c r="L58" s="1" t="n">
        <v>3.5</v>
      </c>
      <c r="M58" s="1" t="n">
        <v>3.2</v>
      </c>
      <c r="N58" s="1" t="n">
        <v>2.9</v>
      </c>
      <c r="O58" s="1" t="n">
        <v>1990</v>
      </c>
      <c r="P58" s="1" t="n">
        <v>23000</v>
      </c>
      <c r="Q58" s="1" t="n">
        <v>27500</v>
      </c>
      <c r="R58" s="1" t="s">
        <v>361</v>
      </c>
      <c r="S58" s="1" t="s">
        <v>44</v>
      </c>
      <c r="U58" s="1" t="s">
        <v>362</v>
      </c>
      <c r="V58" s="1" t="s">
        <v>363</v>
      </c>
      <c r="W58" s="1" t="s">
        <v>364</v>
      </c>
      <c r="X58" s="1" t="s">
        <v>39</v>
      </c>
      <c r="Y58" s="1" t="n">
        <v>27.1</v>
      </c>
      <c r="Z58" s="3" t="s">
        <v>365</v>
      </c>
      <c r="AA58" s="1" t="n">
        <v>13</v>
      </c>
      <c r="AB58" s="1" t="n">
        <v>3.6</v>
      </c>
      <c r="AC58" s="0" t="n">
        <v>3</v>
      </c>
      <c r="AD58" s="0" t="n">
        <v>7</v>
      </c>
      <c r="AE58" s="0" t="n">
        <v>14</v>
      </c>
    </row>
    <row r="59" customFormat="false" ht="15" hidden="false" customHeight="false" outlineLevel="0" collapsed="false">
      <c r="A59" s="1" t="s">
        <v>351</v>
      </c>
      <c r="B59" s="1" t="s">
        <v>366</v>
      </c>
      <c r="C59" s="1" t="n">
        <v>4.3</v>
      </c>
      <c r="D59" s="1" t="n">
        <v>48</v>
      </c>
      <c r="E59" s="1" t="n">
        <v>19</v>
      </c>
      <c r="F59" s="1" t="n">
        <f aca="false">ROUND((C59-AVERAGE(C2:C257))/AVERAGE(C2:C257) * 100,0)</f>
        <v>17</v>
      </c>
      <c r="G59" s="1" t="s">
        <v>367</v>
      </c>
      <c r="H59" s="1" t="n">
        <v>4.3</v>
      </c>
      <c r="I59" s="1" t="n">
        <v>4.1</v>
      </c>
      <c r="J59" s="1" t="n">
        <v>4.4</v>
      </c>
      <c r="K59" s="1" t="n">
        <v>4.2</v>
      </c>
      <c r="L59" s="1" t="n">
        <v>3.9</v>
      </c>
      <c r="M59" s="1" t="n">
        <v>4</v>
      </c>
      <c r="N59" s="1" t="n">
        <v>3.6</v>
      </c>
      <c r="O59" s="1" t="n">
        <v>2018</v>
      </c>
      <c r="P59" s="1" t="n">
        <v>50</v>
      </c>
      <c r="Q59" s="1" t="n">
        <v>144</v>
      </c>
      <c r="R59" s="1" t="s">
        <v>368</v>
      </c>
      <c r="S59" s="3" t="s">
        <v>369</v>
      </c>
      <c r="T59" s="1" t="s">
        <v>66</v>
      </c>
      <c r="U59" s="1" t="s">
        <v>370</v>
      </c>
      <c r="V59" s="1" t="s">
        <v>371</v>
      </c>
      <c r="W59" s="1" t="s">
        <v>372</v>
      </c>
      <c r="X59" s="1" t="s">
        <v>373</v>
      </c>
      <c r="Y59" s="1" t="n">
        <v>21</v>
      </c>
      <c r="Z59" s="3" t="s">
        <v>374</v>
      </c>
      <c r="AA59" s="1" t="n">
        <v>13</v>
      </c>
      <c r="AB59" s="1" t="n">
        <v>3.5</v>
      </c>
      <c r="AC59" s="0" t="n">
        <v>0</v>
      </c>
      <c r="AD59" s="0" t="n">
        <v>1</v>
      </c>
      <c r="AE59" s="0" t="n">
        <v>13</v>
      </c>
    </row>
    <row r="60" customFormat="false" ht="15" hidden="false" customHeight="false" outlineLevel="0" collapsed="false">
      <c r="A60" s="1" t="s">
        <v>351</v>
      </c>
      <c r="B60" s="1" t="s">
        <v>375</v>
      </c>
      <c r="C60" s="1" t="n">
        <v>1.9</v>
      </c>
      <c r="D60" s="1" t="n">
        <v>5</v>
      </c>
      <c r="E60" s="1" t="n">
        <v>-47</v>
      </c>
      <c r="F60" s="1" t="n">
        <f aca="false">ROUND((C60-AVERAGE(C2:C258))/AVERAGE(C2:C258) * 100,0)</f>
        <v>-48</v>
      </c>
      <c r="G60" s="1" t="s">
        <v>376</v>
      </c>
      <c r="H60" s="1" t="n">
        <v>1.9</v>
      </c>
      <c r="I60" s="1" t="n">
        <v>2.7</v>
      </c>
      <c r="J60" s="1" t="n">
        <v>1.9</v>
      </c>
      <c r="K60" s="1" t="n">
        <v>2.1</v>
      </c>
      <c r="L60" s="1" t="n">
        <v>1.9</v>
      </c>
      <c r="M60" s="1" t="n">
        <v>2.1</v>
      </c>
      <c r="N60" s="1" t="n">
        <v>1.9</v>
      </c>
      <c r="O60" s="1" t="n">
        <v>2012</v>
      </c>
      <c r="P60" s="1" t="n">
        <v>50</v>
      </c>
      <c r="Q60" s="1" t="n">
        <v>50</v>
      </c>
      <c r="R60" s="1" t="s">
        <v>377</v>
      </c>
      <c r="S60" s="3" t="s">
        <v>369</v>
      </c>
      <c r="U60" s="1" t="s">
        <v>370</v>
      </c>
      <c r="V60" s="1" t="s">
        <v>378</v>
      </c>
      <c r="W60" s="1" t="s">
        <v>379</v>
      </c>
      <c r="X60" s="1" t="s">
        <v>380</v>
      </c>
      <c r="Y60" s="1" t="n">
        <v>30</v>
      </c>
      <c r="Z60" s="3" t="s">
        <v>381</v>
      </c>
      <c r="AA60" s="1" t="n">
        <v>13</v>
      </c>
      <c r="AB60" s="1" t="n">
        <v>1.8</v>
      </c>
      <c r="AC60" s="0" t="n">
        <v>-13</v>
      </c>
      <c r="AD60" s="0" t="n">
        <v>-28</v>
      </c>
      <c r="AE60" s="0" t="n">
        <v>-136</v>
      </c>
    </row>
    <row r="61" customFormat="false" ht="15" hidden="false" customHeight="false" outlineLevel="0" collapsed="false">
      <c r="A61" s="1" t="s">
        <v>382</v>
      </c>
      <c r="B61" s="1" t="s">
        <v>383</v>
      </c>
      <c r="C61" s="1" t="s">
        <v>277</v>
      </c>
      <c r="D61" s="1" t="n">
        <v>0</v>
      </c>
      <c r="E61" s="1" t="s">
        <v>277</v>
      </c>
      <c r="F61" s="1" t="s">
        <v>277</v>
      </c>
      <c r="G61" s="1" t="s">
        <v>384</v>
      </c>
      <c r="H61" s="1" t="s">
        <v>277</v>
      </c>
      <c r="I61" s="1" t="s">
        <v>277</v>
      </c>
      <c r="J61" s="1" t="s">
        <v>277</v>
      </c>
      <c r="K61" s="1" t="s">
        <v>277</v>
      </c>
      <c r="L61" s="1" t="s">
        <v>277</v>
      </c>
      <c r="M61" s="1" t="s">
        <v>277</v>
      </c>
      <c r="N61" s="1" t="s">
        <v>277</v>
      </c>
      <c r="O61" s="1" t="n">
        <v>2016</v>
      </c>
      <c r="P61" s="1" t="n">
        <v>50</v>
      </c>
      <c r="Q61" s="1" t="n">
        <v>50</v>
      </c>
      <c r="R61" s="1" t="s">
        <v>385</v>
      </c>
      <c r="S61" s="3" t="s">
        <v>210</v>
      </c>
      <c r="T61" s="1" t="s">
        <v>386</v>
      </c>
      <c r="U61" s="1" t="s">
        <v>387</v>
      </c>
      <c r="V61" s="1" t="s">
        <v>388</v>
      </c>
      <c r="W61" s="1" t="s">
        <v>389</v>
      </c>
      <c r="X61" s="3" t="s">
        <v>277</v>
      </c>
      <c r="Y61" s="3" t="s">
        <v>277</v>
      </c>
      <c r="Z61" s="3" t="s">
        <v>277</v>
      </c>
      <c r="AA61" s="1" t="n">
        <v>13</v>
      </c>
      <c r="AB61" s="1" t="n">
        <v>0.9</v>
      </c>
      <c r="AC61" s="0" t="n">
        <v>0</v>
      </c>
      <c r="AD61" s="0" t="n">
        <v>100</v>
      </c>
      <c r="AE61" s="4" t="s">
        <v>277</v>
      </c>
    </row>
    <row r="62" customFormat="false" ht="15" hidden="false" customHeight="false" outlineLevel="0" collapsed="false">
      <c r="A62" s="1" t="s">
        <v>382</v>
      </c>
      <c r="B62" s="1" t="s">
        <v>383</v>
      </c>
      <c r="C62" s="1" t="n">
        <v>5</v>
      </c>
      <c r="D62" s="1" t="n">
        <v>1</v>
      </c>
      <c r="E62" s="1" t="s">
        <v>277</v>
      </c>
      <c r="F62" s="1" t="n">
        <f aca="false">ROUND((C62-AVERAGE(C2:C260))/AVERAGE(C2:C260) * 100,0)</f>
        <v>37</v>
      </c>
      <c r="G62" s="1" t="s">
        <v>390</v>
      </c>
      <c r="H62" s="1" t="n">
        <v>3</v>
      </c>
      <c r="I62" s="1" t="n">
        <v>5</v>
      </c>
      <c r="J62" s="1" t="n">
        <v>2</v>
      </c>
      <c r="K62" s="1" t="s">
        <v>277</v>
      </c>
      <c r="L62" s="1" t="s">
        <v>277</v>
      </c>
      <c r="M62" s="1" t="s">
        <v>277</v>
      </c>
      <c r="N62" s="1" t="s">
        <v>277</v>
      </c>
      <c r="O62" s="1" t="n">
        <v>2016</v>
      </c>
      <c r="P62" s="1" t="n">
        <v>50</v>
      </c>
      <c r="Q62" s="1" t="n">
        <v>50</v>
      </c>
      <c r="R62" s="1" t="s">
        <v>385</v>
      </c>
      <c r="S62" s="3" t="s">
        <v>210</v>
      </c>
      <c r="T62" s="1" t="s">
        <v>386</v>
      </c>
      <c r="U62" s="1" t="s">
        <v>387</v>
      </c>
      <c r="V62" s="1" t="s">
        <v>391</v>
      </c>
      <c r="W62" s="1" t="s">
        <v>389</v>
      </c>
      <c r="X62" s="3" t="s">
        <v>277</v>
      </c>
      <c r="Y62" s="3" t="s">
        <v>277</v>
      </c>
      <c r="Z62" s="3" t="s">
        <v>277</v>
      </c>
      <c r="AA62" s="1" t="n">
        <v>13</v>
      </c>
      <c r="AB62" s="1" t="n">
        <v>0.9</v>
      </c>
      <c r="AC62" s="0" t="n">
        <v>0</v>
      </c>
      <c r="AD62" s="0" t="n">
        <v>100</v>
      </c>
      <c r="AE62" s="4" t="s">
        <v>277</v>
      </c>
    </row>
    <row r="63" customFormat="false" ht="15" hidden="false" customHeight="false" outlineLevel="0" collapsed="false">
      <c r="A63" s="1" t="s">
        <v>382</v>
      </c>
      <c r="B63" s="1" t="s">
        <v>392</v>
      </c>
      <c r="C63" s="1" t="n">
        <v>3.3</v>
      </c>
      <c r="D63" s="1" t="n">
        <v>21</v>
      </c>
      <c r="E63" s="1" t="n">
        <v>-8</v>
      </c>
      <c r="F63" s="1" t="n">
        <f aca="false">ROUND((C63-AVERAGE(C2:C261))/AVERAGE(C2:C261) * 100,0)</f>
        <v>-10</v>
      </c>
      <c r="G63" s="1" t="s">
        <v>393</v>
      </c>
      <c r="H63" s="1" t="n">
        <v>3.2</v>
      </c>
      <c r="I63" s="1" t="n">
        <v>3.2</v>
      </c>
      <c r="J63" s="1" t="n">
        <v>3.5</v>
      </c>
      <c r="K63" s="1" t="n">
        <v>3.2</v>
      </c>
      <c r="L63" s="1" t="n">
        <v>3.2</v>
      </c>
      <c r="M63" s="1" t="n">
        <v>3.4</v>
      </c>
      <c r="N63" s="1" t="n">
        <v>3.2</v>
      </c>
      <c r="O63" s="1" t="n">
        <v>2012</v>
      </c>
      <c r="P63" s="1" t="n">
        <v>50</v>
      </c>
      <c r="Q63" s="1" t="n">
        <v>200</v>
      </c>
      <c r="R63" s="1" t="s">
        <v>394</v>
      </c>
      <c r="S63" s="3" t="s">
        <v>249</v>
      </c>
      <c r="U63" s="1" t="s">
        <v>395</v>
      </c>
      <c r="V63" s="1" t="s">
        <v>396</v>
      </c>
      <c r="W63" s="1" t="s">
        <v>397</v>
      </c>
      <c r="X63" s="3" t="s">
        <v>277</v>
      </c>
      <c r="Y63" s="3" t="s">
        <v>277</v>
      </c>
      <c r="Z63" s="3" t="s">
        <v>277</v>
      </c>
      <c r="AA63" s="1" t="n">
        <v>13</v>
      </c>
      <c r="AB63" s="1" t="n">
        <v>1.8</v>
      </c>
      <c r="AC63" s="0" t="n">
        <v>12</v>
      </c>
      <c r="AD63" s="0" t="n">
        <v>27</v>
      </c>
      <c r="AE63" s="0" t="n">
        <v>105</v>
      </c>
    </row>
    <row r="64" customFormat="false" ht="15" hidden="false" customHeight="false" outlineLevel="0" collapsed="false">
      <c r="A64" s="1" t="s">
        <v>398</v>
      </c>
      <c r="B64" s="1" t="s">
        <v>399</v>
      </c>
      <c r="C64" s="1" t="n">
        <v>4</v>
      </c>
      <c r="D64" s="0" t="n">
        <v>1100</v>
      </c>
      <c r="E64" s="1" t="n">
        <v>11</v>
      </c>
      <c r="F64" s="1" t="n">
        <f aca="false">ROUND((C64-AVERAGE(C2:C262))/AVERAGE(C2:C262) * 100,0)</f>
        <v>9</v>
      </c>
      <c r="G64" s="1" t="s">
        <v>400</v>
      </c>
      <c r="H64" s="1" t="n">
        <v>4.1</v>
      </c>
      <c r="I64" s="1" t="n">
        <v>3.5</v>
      </c>
      <c r="J64" s="1" t="n">
        <v>4</v>
      </c>
      <c r="K64" s="1" t="n">
        <v>3.7</v>
      </c>
      <c r="L64" s="1" t="n">
        <v>4</v>
      </c>
      <c r="M64" s="1" t="n">
        <v>4.1</v>
      </c>
      <c r="N64" s="1" t="n">
        <v>3.2</v>
      </c>
      <c r="O64" s="1" t="n">
        <v>2000</v>
      </c>
      <c r="P64" s="0" t="n">
        <v>7000</v>
      </c>
      <c r="Q64" s="0" t="n">
        <v>8121</v>
      </c>
      <c r="R64" s="1" t="s">
        <v>401</v>
      </c>
      <c r="S64" s="4" t="s">
        <v>51</v>
      </c>
      <c r="T64" s="1" t="s">
        <v>66</v>
      </c>
      <c r="U64" s="1" t="s">
        <v>387</v>
      </c>
      <c r="V64" s="1" t="s">
        <v>402</v>
      </c>
      <c r="W64" s="1" t="s">
        <v>403</v>
      </c>
      <c r="X64" s="1" t="s">
        <v>39</v>
      </c>
      <c r="Y64" s="1" t="n">
        <v>50.7</v>
      </c>
      <c r="Z64" s="1" t="s">
        <v>404</v>
      </c>
      <c r="AA64" s="1" t="n">
        <v>13</v>
      </c>
      <c r="AB64" s="0" t="n">
        <v>2.5</v>
      </c>
      <c r="AC64" s="0" t="n">
        <v>2</v>
      </c>
      <c r="AD64" s="0" t="n">
        <v>11</v>
      </c>
      <c r="AE64" s="0" t="n">
        <v>29</v>
      </c>
    </row>
    <row r="65" customFormat="false" ht="15" hidden="false" customHeight="false" outlineLevel="0" collapsed="false">
      <c r="A65" s="1" t="s">
        <v>398</v>
      </c>
      <c r="B65" s="1" t="s">
        <v>405</v>
      </c>
      <c r="C65" s="1" t="n">
        <v>3.4</v>
      </c>
      <c r="D65" s="0" t="n">
        <v>3800</v>
      </c>
      <c r="E65" s="1" t="n">
        <v>-6</v>
      </c>
      <c r="F65" s="1" t="n">
        <f aca="false">ROUND((C65-AVERAGE(C2:C263))/AVERAGE(C2:C263) * 100,0)</f>
        <v>-7</v>
      </c>
      <c r="G65" s="1" t="s">
        <v>406</v>
      </c>
      <c r="H65" s="1" t="n">
        <v>3.3</v>
      </c>
      <c r="I65" s="1" t="n">
        <v>3.1</v>
      </c>
      <c r="J65" s="1" t="n">
        <v>3.6</v>
      </c>
      <c r="K65" s="1" t="n">
        <v>3.2</v>
      </c>
      <c r="L65" s="0" t="n">
        <v>3.2</v>
      </c>
      <c r="M65" s="1" t="n">
        <v>3.3</v>
      </c>
      <c r="N65" s="1" t="n">
        <v>2.6</v>
      </c>
      <c r="O65" s="1" t="n">
        <v>1995</v>
      </c>
      <c r="P65" s="0" t="n">
        <v>11500</v>
      </c>
      <c r="Q65" s="0" t="n">
        <v>15409</v>
      </c>
      <c r="R65" s="1" t="s">
        <v>407</v>
      </c>
      <c r="S65" s="4" t="s">
        <v>44</v>
      </c>
      <c r="U65" s="1" t="s">
        <v>362</v>
      </c>
      <c r="V65" s="1" t="s">
        <v>408</v>
      </c>
      <c r="W65" s="1" t="s">
        <v>409</v>
      </c>
      <c r="X65" s="1" t="s">
        <v>39</v>
      </c>
      <c r="Y65" s="1" t="n">
        <v>39.8</v>
      </c>
      <c r="Z65" s="1" t="s">
        <v>410</v>
      </c>
      <c r="AA65" s="1" t="n">
        <v>13</v>
      </c>
      <c r="AB65" s="0" t="n">
        <v>4.3</v>
      </c>
      <c r="AC65" s="0" t="n">
        <v>0</v>
      </c>
      <c r="AD65" s="0" t="n">
        <v>0</v>
      </c>
      <c r="AE65" s="0" t="n">
        <v>0</v>
      </c>
    </row>
    <row r="66" customFormat="false" ht="15" hidden="false" customHeight="false" outlineLevel="0" collapsed="false">
      <c r="A66" s="1" t="s">
        <v>398</v>
      </c>
      <c r="B66" s="1" t="s">
        <v>411</v>
      </c>
      <c r="C66" s="1" t="n">
        <v>3.4</v>
      </c>
      <c r="D66" s="0" t="n">
        <v>7900</v>
      </c>
      <c r="E66" s="1" t="n">
        <v>-6</v>
      </c>
      <c r="F66" s="1" t="n">
        <f aca="false">ROUND((C66-AVERAGE(C2:C264))/AVERAGE(C2:C264) * 100,0)</f>
        <v>-7</v>
      </c>
      <c r="G66" s="1" t="s">
        <v>412</v>
      </c>
      <c r="H66" s="1" t="n">
        <v>3.3</v>
      </c>
      <c r="I66" s="1" t="n">
        <v>3.1</v>
      </c>
      <c r="J66" s="1" t="n">
        <v>3.4</v>
      </c>
      <c r="K66" s="1" t="n">
        <v>3.2</v>
      </c>
      <c r="L66" s="1" t="n">
        <v>3.4</v>
      </c>
      <c r="M66" s="1" t="n">
        <v>3.3</v>
      </c>
      <c r="N66" s="1" t="n">
        <v>2.8</v>
      </c>
      <c r="O66" s="1" t="n">
        <v>1990</v>
      </c>
      <c r="P66" s="0" t="n">
        <v>28000</v>
      </c>
      <c r="Q66" s="0" t="n">
        <v>33844</v>
      </c>
      <c r="R66" s="1" t="s">
        <v>413</v>
      </c>
      <c r="S66" s="4" t="s">
        <v>44</v>
      </c>
      <c r="T66" s="1" t="s">
        <v>414</v>
      </c>
      <c r="U66" s="1" t="s">
        <v>415</v>
      </c>
      <c r="V66" s="1" t="s">
        <v>416</v>
      </c>
      <c r="W66" s="1" t="s">
        <v>417</v>
      </c>
      <c r="X66" s="1" t="s">
        <v>39</v>
      </c>
      <c r="Y66" s="1" t="n">
        <v>22.9</v>
      </c>
      <c r="Z66" s="1" t="s">
        <v>418</v>
      </c>
      <c r="AA66" s="1" t="n">
        <v>13</v>
      </c>
      <c r="AB66" s="0" t="n">
        <v>3.6</v>
      </c>
      <c r="AC66" s="0" t="n">
        <v>2</v>
      </c>
      <c r="AD66" s="0" t="n">
        <v>5</v>
      </c>
      <c r="AE66" s="0" t="n">
        <v>13</v>
      </c>
    </row>
    <row r="67" customFormat="false" ht="15" hidden="false" customHeight="false" outlineLevel="0" collapsed="false">
      <c r="A67" s="1" t="s">
        <v>398</v>
      </c>
      <c r="B67" s="1" t="s">
        <v>419</v>
      </c>
      <c r="C67" s="1" t="n">
        <v>3.6</v>
      </c>
      <c r="D67" s="0" t="n">
        <v>5700</v>
      </c>
      <c r="E67" s="1" t="n">
        <v>-3</v>
      </c>
      <c r="F67" s="1" t="n">
        <f aca="false">ROUND((C67-AVERAGE(C2:C265))/AVERAGE(C2:C265) * 100,0)</f>
        <v>-2</v>
      </c>
      <c r="G67" s="1" t="s">
        <v>420</v>
      </c>
      <c r="H67" s="1" t="n">
        <v>3.4</v>
      </c>
      <c r="I67" s="1" t="n">
        <v>3.9</v>
      </c>
      <c r="J67" s="1" t="n">
        <v>3.5</v>
      </c>
      <c r="K67" s="1" t="n">
        <v>3.3</v>
      </c>
      <c r="L67" s="1" t="n">
        <v>3.3</v>
      </c>
      <c r="M67" s="1" t="n">
        <v>3.4</v>
      </c>
      <c r="N67" s="1" t="n">
        <v>3</v>
      </c>
      <c r="O67" s="1" t="n">
        <v>1997</v>
      </c>
      <c r="P67" s="0" t="n">
        <v>45000</v>
      </c>
      <c r="Q67" s="0" t="n">
        <v>231944</v>
      </c>
      <c r="R67" s="1" t="s">
        <v>421</v>
      </c>
      <c r="S67" s="4" t="s">
        <v>73</v>
      </c>
      <c r="T67" s="1" t="s">
        <v>422</v>
      </c>
      <c r="U67" s="1" t="s">
        <v>387</v>
      </c>
      <c r="V67" s="1" t="s">
        <v>423</v>
      </c>
      <c r="W67" s="1" t="s">
        <v>424</v>
      </c>
      <c r="X67" s="1" t="s">
        <v>39</v>
      </c>
      <c r="Y67" s="1" t="n">
        <v>39.5</v>
      </c>
      <c r="Z67" s="1" t="s">
        <v>425</v>
      </c>
      <c r="AA67" s="1" t="n">
        <v>13</v>
      </c>
      <c r="AB67" s="0" t="n">
        <v>5.6</v>
      </c>
      <c r="AC67" s="0" t="n">
        <v>2</v>
      </c>
      <c r="AD67" s="0" t="n">
        <v>3</v>
      </c>
      <c r="AE67" s="0" t="n">
        <v>5</v>
      </c>
    </row>
  </sheetData>
  <hyperlinks>
    <hyperlink ref="V3" r:id="rId1" display="https://www.linkedin.com/company/infosys/insights/"/>
    <hyperlink ref="V4" r:id="rId2" display="https://www.linkedin.com/company/accenture/insights/"/>
    <hyperlink ref="V5" r:id="rId3" display="https://www.linkedin.com/company/cognizant/insights/"/>
    <hyperlink ref="V6" r:id="rId4" display="https://www.linkedin.com/company/nagarro/insights/"/>
    <hyperlink ref="V38" r:id="rId5" display="https://www.linkedin.com/company/infosys/insights/"/>
    <hyperlink ref="V41" r:id="rId6" display="https://www.linkedin.com/company/accenture/insights/"/>
    <hyperlink ref="V42" r:id="rId7" display="https://www.linkedin.com/company/cognizant/insights/"/>
    <hyperlink ref="V45" r:id="rId8" display="https://www.linkedin.com/company/nagarro/insight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2026-06-27T03:29:27Z</dcterms:created>
  <dc:creator>openpyxl</dc:creator>
  <dc:description/>
  <dc:language>en-US</dc:language>
  <cp:lastModifiedBy/>
  <dcterms:modified xsi:type="dcterms:W3CDTF">2026-07-07T18:28:07Z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