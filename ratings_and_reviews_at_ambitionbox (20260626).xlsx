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ngs_and_reviews_at_naukri_a" sheetId="1" state="visible" r:id="rId3"/>
    <sheet name="TECHPINNACLE BIT SOLUTIONS" sheetId="2" state="visible" r:id="rId4"/>
    <sheet name="Genpac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<sst xmlns="http://schemas.openxmlformats.org/spreadsheetml/2006/main" count="286" uniqueCount="161">
  <si>
    <t xml:space="preserve">Date</t>
  </si>
  <si>
    <t xml:space="preserve">Company</t>
  </si>
  <si>
    <t xml:space="preserve">Rating</t>
  </si>
  <si>
    <t xml:space="preserve">#Reviews</t>
  </si>
  <si>
    <t xml:space="preserve">Industry level insights (%: -100 (below industry's average) to 100)</t>
  </si>
  <si>
    <t xml:space="preserve">Sample Avg Insights</t>
  </si>
  <si>
    <t xml:space="preserve">URL</t>
  </si>
  <si>
    <t xml:space="preserve">Company Culture</t>
  </si>
  <si>
    <t xml:space="preserve">Salary</t>
  </si>
  <si>
    <t xml:space="preserve">Work-Life Balance</t>
  </si>
  <si>
    <t xml:space="preserve">Work Satisfaction</t>
  </si>
  <si>
    <t xml:space="preserve">Skill Development</t>
  </si>
  <si>
    <t xml:space="preserve">Job Security</t>
  </si>
  <si>
    <t xml:space="preserve">Promotions</t>
  </si>
  <si>
    <t xml:space="preserve">Founded in</t>
  </si>
  <si>
    <t xml:space="preserve">India Employee Count</t>
  </si>
  <si>
    <t xml:space="preserve">Global Employee Count</t>
  </si>
  <si>
    <t xml:space="preserve">Company Website</t>
  </si>
  <si>
    <t xml:space="preserve">Company Industry</t>
  </si>
  <si>
    <t xml:space="preserve">Other Industries</t>
  </si>
  <si>
    <t xml:space="preserve">HQ</t>
  </si>
  <si>
    <t xml:space="preserve">LinkedIn</t>
  </si>
  <si>
    <t xml:space="preserve">Jan / 16 / 2026</t>
  </si>
  <si>
    <t xml:space="preserve">Axtria</t>
  </si>
  <si>
    <t xml:space="preserve">https://www.ambitionbox.com/reviews/axtria-reviews</t>
  </si>
  <si>
    <t xml:space="preserve">https://www.axtria.com/</t>
  </si>
  <si>
    <t xml:space="preserve">Data analytics &amp; cloud software company focused on Life Sciences</t>
  </si>
  <si>
    <t xml:space="preserve">Berkeley Heights,New Jersey, United States</t>
  </si>
  <si>
    <t xml:space="preserve">https://www.linkedin.com/company/axtria/</t>
  </si>
  <si>
    <t xml:space="preserve">Infosys</t>
  </si>
  <si>
    <t xml:space="preserve">https://www.ambitionbox.com/reviews/infosys-reviews</t>
  </si>
  <si>
    <t xml:space="preserve">https://www.infosys.com/</t>
  </si>
  <si>
    <t xml:space="preserve">IT Services &amp; Consulting</t>
  </si>
  <si>
    <t xml:space="preserve">Accenture</t>
  </si>
  <si>
    <t xml:space="preserve">https://www.ambitionbox.com/reviews/accenture-reviews</t>
  </si>
  <si>
    <t xml:space="preserve">https://www.accenture.com/</t>
  </si>
  <si>
    <t xml:space="preserve">Analytics &amp; KPO</t>
  </si>
  <si>
    <t xml:space="preserve">Cognizant</t>
  </si>
  <si>
    <t xml:space="preserve">https://www.ambitionbox.com/reviews/cognizant-reviews</t>
  </si>
  <si>
    <t xml:space="preserve">https://www.cognizant.com/</t>
  </si>
  <si>
    <t xml:space="preserve">Consulting</t>
  </si>
  <si>
    <t xml:space="preserve">Nagarro</t>
  </si>
  <si>
    <t xml:space="preserve">https://www.ambitionbox.com/reviews/nagarro-reviews</t>
  </si>
  <si>
    <t xml:space="preserve">https://www.nagarro.com/en/</t>
  </si>
  <si>
    <t xml:space="preserve">Internet</t>
  </si>
  <si>
    <t xml:space="preserve">American Express</t>
  </si>
  <si>
    <t xml:space="preserve">https://www.ambitionbox.com/reviews/american-express-reviews</t>
  </si>
  <si>
    <t xml:space="preserve">https://www.americanexpress.com/en-in/</t>
  </si>
  <si>
    <t xml:space="preserve">Financial Services</t>
  </si>
  <si>
    <t xml:space="preserve">Retail</t>
  </si>
  <si>
    <t xml:space="preserve">Feb / 13 / 2026</t>
  </si>
  <si>
    <t xml:space="preserve">GSPANN</t>
  </si>
  <si>
    <t xml:space="preserve">https://www.ambitionbox.com/reviews/gspann-technologies-reviews</t>
  </si>
  <si>
    <t xml:space="preserve">https://www.gspann.com/</t>
  </si>
  <si>
    <t xml:space="preserve">Feb / 14 / 2026</t>
  </si>
  <si>
    <t xml:space="preserve">IBM Consulting</t>
  </si>
  <si>
    <t xml:space="preserve">https://www.ambitionbox.com/reviews/ibm-consulting-reviews</t>
  </si>
  <si>
    <t xml:space="preserve">https://www.ibm.com/</t>
  </si>
  <si>
    <t xml:space="preserve">IBM</t>
  </si>
  <si>
    <t xml:space="preserve">https://www.ambitionbox.com/reviews/ibm-reviews</t>
  </si>
  <si>
    <t xml:space="preserve">Jun / 11 / 2026</t>
  </si>
  <si>
    <t xml:space="preserve">ZS</t>
  </si>
  <si>
    <t xml:space="preserve">https://www.ambitionbox.com/reviews/zs-reviews</t>
  </si>
  <si>
    <t xml:space="preserve">https://www.zs.com/</t>
  </si>
  <si>
    <t xml:space="preserve">Management Consulting</t>
  </si>
  <si>
    <t xml:space="preserve">TCS</t>
  </si>
  <si>
    <t xml:space="preserve">https://www.ambitionbox.com/reviews/tcs-reviews</t>
  </si>
  <si>
    <t xml:space="preserve">https://www.tcs.com/</t>
  </si>
  <si>
    <t xml:space="preserve">HCLTech</t>
  </si>
  <si>
    <t xml:space="preserve">https://www.ambitionbox.com/reviews/hcl-technologies-reviews</t>
  </si>
  <si>
    <t xml:space="preserve">https://careers.hcltech.com/go/India/9553955/</t>
  </si>
  <si>
    <t xml:space="preserve">Engineering and R&amp;D Services</t>
  </si>
  <si>
    <t xml:space="preserve">Jun / 12 / 2026</t>
  </si>
  <si>
    <t xml:space="preserve">KPMG India</t>
  </si>
  <si>
    <t xml:space="preserve">https://www.ambitionbox.com/reviews/kpmg-india-reviews</t>
  </si>
  <si>
    <t xml:space="preserve">https://kpmg.com/</t>
  </si>
  <si>
    <t xml:space="preserve">PwC</t>
  </si>
  <si>
    <t xml:space="preserve">https://www.ambitionbox.com/reviews/pwc-reviews</t>
  </si>
  <si>
    <t xml:space="preserve">https://www.pwc.com/gx/en.html</t>
  </si>
  <si>
    <t xml:space="preserve">Accounting &amp; Auditing </t>
  </si>
  <si>
    <t xml:space="preserve">Lumen Technologies</t>
  </si>
  <si>
    <t xml:space="preserve">https://www.ambitionbox.com/reviews/lumen-technologies-reviews</t>
  </si>
  <si>
    <t xml:space="preserve">https://www.lumen.com/en-in/</t>
  </si>
  <si>
    <t xml:space="preserve">Hardware &amp; Networking</t>
  </si>
  <si>
    <t xml:space="preserve">TECHPINNACLE BIT SOLUTIONS</t>
  </si>
  <si>
    <t xml:space="preserve">https://www.ambitionbox.com/reviews/techpinnacle-bit-solutions-reviews</t>
  </si>
  <si>
    <t xml:space="preserve">https://www.techapso.com/</t>
  </si>
  <si>
    <t xml:space="preserve">Genpact</t>
  </si>
  <si>
    <t xml:space="preserve">https://www.ambitionbox.com/reviews/genpact-reviews</t>
  </si>
  <si>
    <t xml:space="preserve">https://www.genpact.com/</t>
  </si>
  <si>
    <t xml:space="preserve">Google</t>
  </si>
  <si>
    <t xml:space="preserve">https://www.ambitionbox.com/reviews/google-reviews</t>
  </si>
  <si>
    <t xml:space="preserve">https://googleoperationscenter.com/</t>
  </si>
  <si>
    <t xml:space="preserve">Software Product (Internet)</t>
  </si>
  <si>
    <t xml:space="preserve">Amazon</t>
  </si>
  <si>
    <t xml:space="preserve">https://www.ambitionbox.com/reviews/amazon-reviews</t>
  </si>
  <si>
    <t xml:space="preserve">https://amazon.jobs/en/</t>
  </si>
  <si>
    <t xml:space="preserve">Jun / 13 / 2026</t>
  </si>
  <si>
    <t xml:space="preserve">Procore</t>
  </si>
  <si>
    <t xml:space="preserve">https://www.ambitionbox.com/reviews/procore-reviews</t>
  </si>
  <si>
    <t xml:space="preserve">https://www.procore.com/en-sg</t>
  </si>
  <si>
    <t xml:space="preserve">Siemens Energy</t>
  </si>
  <si>
    <t xml:space="preserve">https://www.ambitionbox.com/reviews/siemens-energy-reviews</t>
  </si>
  <si>
    <t xml:space="preserve">https://www.siemens-energy.com/global/en.html</t>
  </si>
  <si>
    <t xml:space="preserve">Power</t>
  </si>
  <si>
    <t xml:space="preserve">Jun / 16 / 2026</t>
  </si>
  <si>
    <t xml:space="preserve">Dentsu Global Services</t>
  </si>
  <si>
    <t xml:space="preserve">https://www.ambitionbox.com/overview/dentsu-global-services-overview</t>
  </si>
  <si>
    <t xml:space="preserve">https://www.dentsu.com/</t>
  </si>
  <si>
    <t xml:space="preserve">Marketing &amp; Advertising</t>
  </si>
  <si>
    <t xml:space="preserve">Statusneo</t>
  </si>
  <si>
    <t xml:space="preserve">https://www.ambitionbox.com/overview/statusneo-overview</t>
  </si>
  <si>
    <t xml:space="preserve">https://statusneo.com/</t>
  </si>
  <si>
    <t xml:space="preserve">IT Services &amp; Management Consulting</t>
  </si>
  <si>
    <t xml:space="preserve">Tredence</t>
  </si>
  <si>
    <t xml:space="preserve">https://www.ambitionbox.com/overview/tredence-overview</t>
  </si>
  <si>
    <t xml:space="preserve">https://www.tredence.com/</t>
  </si>
  <si>
    <t xml:space="preserve">Jun / 21 / 2026</t>
  </si>
  <si>
    <t xml:space="preserve">Capgemini</t>
  </si>
  <si>
    <t xml:space="preserve">https://www.ambitionbox.com/reviews/capgemini-reviews</t>
  </si>
  <si>
    <t xml:space="preserve">https://www.capgemini.com/in-en/</t>
  </si>
  <si>
    <t xml:space="preserve">HMH Technology Private Limited</t>
  </si>
  <si>
    <t xml:space="preserve">https://www.ambitionbox.com/reviews/hmh-technology-private-limited-reviews</t>
  </si>
  <si>
    <t xml:space="preserve">https://www.hmhco.com/</t>
  </si>
  <si>
    <t xml:space="preserve">EdTech</t>
  </si>
  <si>
    <t xml:space="preserve">Chegg</t>
  </si>
  <si>
    <t xml:space="preserve">https://www.ambitionbox.com/overview/chegg-overview</t>
  </si>
  <si>
    <t xml:space="preserve">https://www.chegg.com/</t>
  </si>
  <si>
    <t xml:space="preserve">Khan Academy</t>
  </si>
  <si>
    <t xml:space="preserve">https://www.ambitionbox.com/overview/khan-academy-overview</t>
  </si>
  <si>
    <t xml:space="preserve">https://www.khanacademy.org/</t>
  </si>
  <si>
    <t xml:space="preserve">Jun / 23 / 2026</t>
  </si>
  <si>
    <r>
      <rPr>
        <sz val="10"/>
        <rFont val="Arial"/>
        <family val="2"/>
        <charset val="1"/>
      </rPr>
      <t xml:space="preserve">Bounteous x Accolite (</t>
    </r>
    <r>
      <rPr>
        <sz val="10"/>
        <rFont val="Arial"/>
        <family val="2"/>
      </rPr>
      <t xml:space="preserve">Accolite Digital India Pvt. Ltd.)</t>
    </r>
  </si>
  <si>
    <t xml:space="preserve">https://www.ambitionbox.com/overview/accolite-overview</t>
  </si>
  <si>
    <t xml:space="preserve">https://www.bounteous.com/</t>
  </si>
  <si>
    <t xml:space="preserve">Boston Consulting Group</t>
  </si>
  <si>
    <t xml:space="preserve">https://www.ambitionbox.com/overview/bcg-overview</t>
  </si>
  <si>
    <t xml:space="preserve">https://www.bcg.com/</t>
  </si>
  <si>
    <t xml:space="preserve">S&amp;P Global</t>
  </si>
  <si>
    <t xml:space="preserve">https://www.ambitionbox.com/overview/s-and-p-global-overview</t>
  </si>
  <si>
    <t xml:space="preserve">https://www.spglobal.com/en</t>
  </si>
  <si>
    <t xml:space="preserve">Mindlance</t>
  </si>
  <si>
    <t xml:space="preserve">https://www.ambitionbox.com/overview/mindlance-overview</t>
  </si>
  <si>
    <t xml:space="preserve">https://www.mindlance.com/</t>
  </si>
  <si>
    <t xml:space="preserve">Recruitment</t>
  </si>
  <si>
    <t xml:space="preserve">EXL Service</t>
  </si>
  <si>
    <t xml:space="preserve">https://www.ambitionbox.com/reviews/exl-service-reviews</t>
  </si>
  <si>
    <t xml:space="preserve">https://www.exlservice.com/</t>
  </si>
  <si>
    <t xml:space="preserve">Jun / 25 / 2026</t>
  </si>
  <si>
    <t xml:space="preserve">Optum Global Solutions </t>
  </si>
  <si>
    <t xml:space="preserve">https://www.ambitionbox.com/reviews/optum-global-solutions-reviews</t>
  </si>
  <si>
    <t xml:space="preserve">https://www.unitedhealthgroup.com/</t>
  </si>
  <si>
    <t xml:space="preserve">Jun / 26 / 2026</t>
  </si>
  <si>
    <t xml:space="preserve">Altimetrik</t>
  </si>
  <si>
    <t xml:space="preserve">https://www.ambitionbox.com/overview/altimetrik-overview</t>
  </si>
  <si>
    <t xml:space="preserve">https://www.altimetrik.com/</t>
  </si>
  <si>
    <t xml:space="preserve">Deeplearning.ai</t>
  </si>
  <si>
    <t xml:space="preserve">-</t>
  </si>
  <si>
    <t xml:space="preserve">https://www.ambitionbox.com/overview/deeplearning-dot-ai-overview</t>
  </si>
  <si>
    <t xml:space="preserve">https://www.deeplearning.ai/</t>
  </si>
  <si>
    <t xml:space="preserve">Jun / 27 /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</si>
</sst>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273240</xdr:colOff>
      <xdr:row>49</xdr:row>
      <xdr:rowOff>62640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8401320" cy="8028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263160</xdr:colOff>
      <xdr:row>50</xdr:row>
      <xdr:rowOff>43560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0" y="0"/>
          <a:ext cx="8391240" cy="8171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7"/>
  <sheetViews>
    <sheetView showFormulas="false" showGridLines="true" showRowColHeaders="true" showZeros="true" rightToLeft="false" tabSelected="true" showOutlineSymbols="true" defaultGridColor="true" view="normal" topLeftCell="M1" colorId="64" zoomScale="90" zoomScaleNormal="90" zoomScalePageLayoutView="100" workbookViewId="0">
      <pane xSplit="0" ySplit="1" topLeftCell="A2" activePane="bottomLeft" state="frozen"/>
      <selection pane="topLeft" activeCell="M1" activeCellId="0" sqref="M1"/>
      <selection pane="bottomLeft" activeCell="X1" activeCellId="0" sqref="X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81"/>
    <col collapsed="false" customWidth="true" hidden="false" outlineLevel="0" max="2" min="2" style="1" width="29.06"/>
    <col collapsed="false" customWidth="true" hidden="false" outlineLevel="0" max="3" min="3" style="1" width="6.18"/>
    <col collapsed="false" customWidth="true" hidden="false" outlineLevel="0" max="4" min="4" style="1" width="9.36"/>
    <col collapsed="false" customWidth="true" hidden="false" outlineLevel="0" max="5" min="5" style="1" width="5.25"/>
    <col collapsed="false" customWidth="true" hidden="false" outlineLevel="0" max="6" min="6" style="1" width="8.03"/>
    <col collapsed="false" customWidth="true" hidden="false" outlineLevel="0" max="7" min="7" style="1" width="8.19"/>
    <col collapsed="false" customWidth="true" hidden="false" outlineLevel="0" max="8" min="8" style="1" width="9.42"/>
    <col collapsed="false" customWidth="true" hidden="false" outlineLevel="0" max="9" min="9" style="1" width="6.79"/>
    <col collapsed="false" customWidth="true" hidden="false" outlineLevel="0" max="10" min="10" style="1" width="10.82"/>
    <col collapsed="false" customWidth="false" hidden="false" outlineLevel="0" max="11" min="11" style="1" width="11.58"/>
    <col collapsed="false" customWidth="true" hidden="false" outlineLevel="0" max="12" min="12" style="1" width="9.73"/>
    <col collapsed="false" customWidth="true" hidden="false" outlineLevel="0" max="13" min="13" style="1" width="11.43"/>
    <col collapsed="false" customWidth="true" hidden="false" outlineLevel="0" max="20" min="20" style="0" width="27.91"/>
    <col collapsed="false" customWidth="true" hidden="false" outlineLevel="0" max="21" min="21" style="0" width="38.58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0"/>
    </row>
    <row r="2" customFormat="false" ht="12.8" hidden="false" customHeight="false" outlineLevel="0" collapsed="false">
      <c r="A2" s="3" t="s">
        <v>22</v>
      </c>
      <c r="B2" s="1" t="s">
        <v>23</v>
      </c>
      <c r="C2" s="1" t="n">
        <v>2.8</v>
      </c>
      <c r="D2" s="1" t="n">
        <v>748</v>
      </c>
      <c r="E2" s="1" t="n">
        <v>-22</v>
      </c>
      <c r="F2" s="1" t="n">
        <f aca="false">ROUND((C2-AVERAGE(C2:C200))/AVERAGE(C2:C200) * 100,0)</f>
        <v>-25</v>
      </c>
      <c r="G2" s="1" t="s">
        <v>24</v>
      </c>
      <c r="H2" s="1" t="n">
        <v>2.6</v>
      </c>
      <c r="I2" s="1" t="n">
        <v>2.9</v>
      </c>
      <c r="J2" s="1" t="n">
        <v>2.6</v>
      </c>
      <c r="K2" s="1" t="n">
        <v>2.5</v>
      </c>
      <c r="L2" s="1" t="n">
        <v>2.7</v>
      </c>
      <c r="M2" s="1" t="n">
        <v>2.9</v>
      </c>
      <c r="N2" s="1" t="n">
        <v>2.6</v>
      </c>
      <c r="O2" s="1" t="n">
        <v>2010</v>
      </c>
      <c r="P2" s="1" t="n">
        <v>3600</v>
      </c>
      <c r="Q2" s="1" t="n">
        <v>3600</v>
      </c>
      <c r="R2" s="1" t="s">
        <v>25</v>
      </c>
      <c r="S2" s="1" t="s">
        <v>26</v>
      </c>
      <c r="U2" s="1" t="s">
        <v>27</v>
      </c>
      <c r="V2" s="1" t="s">
        <v>28</v>
      </c>
    </row>
    <row r="3" customFormat="false" ht="12.8" hidden="false" customHeight="false" outlineLevel="0" collapsed="false">
      <c r="A3" s="3" t="s">
        <v>22</v>
      </c>
      <c r="B3" s="1" t="s">
        <v>29</v>
      </c>
      <c r="C3" s="1" t="n">
        <v>3.5</v>
      </c>
      <c r="D3" s="1" t="n">
        <v>47300</v>
      </c>
      <c r="E3" s="1" t="n">
        <v>-3</v>
      </c>
      <c r="F3" s="1" t="n">
        <f aca="false">ROUND((C3-AVERAGE(C2:C201))/AVERAGE(C2:C201) * 100,0)</f>
        <v>-6</v>
      </c>
      <c r="G3" s="1" t="s">
        <v>30</v>
      </c>
      <c r="H3" s="1" t="n">
        <v>3.6</v>
      </c>
      <c r="I3" s="1" t="n">
        <v>2.7</v>
      </c>
      <c r="J3" s="1" t="n">
        <v>3.6</v>
      </c>
      <c r="K3" s="1" t="n">
        <v>3.3</v>
      </c>
      <c r="L3" s="1" t="n">
        <v>3.5</v>
      </c>
      <c r="M3" s="1" t="n">
        <v>3.9</v>
      </c>
      <c r="N3" s="1" t="n">
        <v>2.6</v>
      </c>
      <c r="O3" s="1" t="n">
        <v>1981</v>
      </c>
      <c r="P3" s="1" t="n">
        <v>100000</v>
      </c>
      <c r="Q3" s="1" t="n">
        <v>100000</v>
      </c>
      <c r="R3" s="1" t="s">
        <v>31</v>
      </c>
      <c r="S3" s="1" t="s">
        <v>32</v>
      </c>
      <c r="U3" s="1"/>
      <c r="V3" s="1"/>
      <c r="W3" s="1"/>
    </row>
    <row r="4" customFormat="false" ht="12.8" hidden="false" customHeight="false" outlineLevel="0" collapsed="false">
      <c r="A4" s="3" t="s">
        <v>22</v>
      </c>
      <c r="B4" s="1" t="s">
        <v>33</v>
      </c>
      <c r="C4" s="1" t="n">
        <v>3.7</v>
      </c>
      <c r="D4" s="1" t="n">
        <v>71100</v>
      </c>
      <c r="E4" s="1" t="n">
        <v>3</v>
      </c>
      <c r="F4" s="1" t="n">
        <f aca="false">ROUND((C4-AVERAGE(C2:C202))/AVERAGE(C2:C202) * 100,0)</f>
        <v>-0</v>
      </c>
      <c r="G4" s="1" t="s">
        <v>34</v>
      </c>
      <c r="H4" s="1" t="n">
        <v>3.7</v>
      </c>
      <c r="I4" s="1" t="n">
        <v>3.2</v>
      </c>
      <c r="J4" s="1" t="n">
        <v>3.6</v>
      </c>
      <c r="K4" s="1" t="n">
        <v>3.4</v>
      </c>
      <c r="L4" s="1" t="n">
        <v>3.6</v>
      </c>
      <c r="M4" s="1" t="n">
        <v>3.6</v>
      </c>
      <c r="N4" s="1" t="n">
        <v>2.8</v>
      </c>
      <c r="O4" s="4" t="n">
        <v>1989</v>
      </c>
      <c r="P4" s="1" t="n">
        <v>300000</v>
      </c>
      <c r="Q4" s="4" t="n">
        <v>799000</v>
      </c>
      <c r="R4" s="1" t="s">
        <v>35</v>
      </c>
      <c r="S4" s="1" t="s">
        <v>32</v>
      </c>
      <c r="T4" s="1" t="s">
        <v>36</v>
      </c>
      <c r="U4" s="1"/>
      <c r="V4" s="1"/>
      <c r="W4" s="1"/>
    </row>
    <row r="5" customFormat="false" ht="12.8" hidden="false" customHeight="false" outlineLevel="0" collapsed="false">
      <c r="A5" s="3" t="s">
        <v>22</v>
      </c>
      <c r="B5" s="1" t="s">
        <v>37</v>
      </c>
      <c r="C5" s="1" t="n">
        <v>3.6</v>
      </c>
      <c r="D5" s="1" t="n">
        <v>59900</v>
      </c>
      <c r="E5" s="1" t="n">
        <v>0</v>
      </c>
      <c r="F5" s="1" t="n">
        <f aca="false">ROUND((C5-AVERAGE(C2:C203))/AVERAGE(C2:C203) * 100,0)</f>
        <v>-3</v>
      </c>
      <c r="G5" s="1" t="s">
        <v>38</v>
      </c>
      <c r="H5" s="1" t="n">
        <v>3.5</v>
      </c>
      <c r="I5" s="1" t="n">
        <v>3.2</v>
      </c>
      <c r="J5" s="1" t="n">
        <v>3.6</v>
      </c>
      <c r="K5" s="1" t="n">
        <v>3.4</v>
      </c>
      <c r="L5" s="1" t="n">
        <v>3.6</v>
      </c>
      <c r="M5" s="1" t="n">
        <v>3.6</v>
      </c>
      <c r="N5" s="1" t="n">
        <v>2.9</v>
      </c>
      <c r="O5" s="1" t="n">
        <v>1994</v>
      </c>
      <c r="P5" s="4" t="n">
        <v>256000</v>
      </c>
      <c r="Q5" s="1" t="n">
        <v>357600</v>
      </c>
      <c r="R5" s="1" t="s">
        <v>39</v>
      </c>
      <c r="S5" s="1" t="s">
        <v>32</v>
      </c>
      <c r="T5" s="1" t="s">
        <v>40</v>
      </c>
      <c r="U5" s="1"/>
      <c r="V5" s="1"/>
      <c r="W5" s="1"/>
    </row>
    <row r="6" customFormat="false" ht="12.8" hidden="false" customHeight="false" outlineLevel="0" collapsed="false">
      <c r="A6" s="3" t="s">
        <v>22</v>
      </c>
      <c r="B6" s="1" t="s">
        <v>41</v>
      </c>
      <c r="C6" s="1" t="n">
        <v>3.9</v>
      </c>
      <c r="D6" s="1" t="n">
        <v>4700</v>
      </c>
      <c r="E6" s="1" t="n">
        <v>8</v>
      </c>
      <c r="F6" s="1" t="n">
        <f aca="false">ROUND((C6-AVERAGE(C2:C204))/AVERAGE(C2:C204) * 100,0)</f>
        <v>5</v>
      </c>
      <c r="G6" s="1" t="s">
        <v>42</v>
      </c>
      <c r="H6" s="1" t="n">
        <v>3.9</v>
      </c>
      <c r="I6" s="1" t="n">
        <v>3.7</v>
      </c>
      <c r="J6" s="1" t="n">
        <v>3.6</v>
      </c>
      <c r="K6" s="1" t="n">
        <v>3.6</v>
      </c>
      <c r="L6" s="1" t="n">
        <v>3.7</v>
      </c>
      <c r="M6" s="1" t="n">
        <v>3.6</v>
      </c>
      <c r="N6" s="1" t="n">
        <v>3.3</v>
      </c>
      <c r="O6" s="0" t="n">
        <v>1996</v>
      </c>
      <c r="P6" s="0" t="n">
        <v>13000</v>
      </c>
      <c r="Q6" s="0" t="n">
        <v>18500</v>
      </c>
      <c r="R6" s="1" t="s">
        <v>43</v>
      </c>
      <c r="S6" s="1" t="s">
        <v>32</v>
      </c>
      <c r="T6" s="5" t="s">
        <v>44</v>
      </c>
      <c r="U6" s="1"/>
      <c r="V6" s="1"/>
      <c r="W6" s="1"/>
    </row>
    <row r="7" customFormat="false" ht="12.8" hidden="false" customHeight="false" outlineLevel="0" collapsed="false">
      <c r="A7" s="3" t="s">
        <v>22</v>
      </c>
      <c r="B7" s="1" t="s">
        <v>45</v>
      </c>
      <c r="C7" s="1" t="n">
        <v>4.1</v>
      </c>
      <c r="D7" s="1" t="n">
        <v>3800</v>
      </c>
      <c r="E7" s="1" t="n">
        <v>11</v>
      </c>
      <c r="F7" s="1" t="n">
        <f aca="false">ROUND((C7-AVERAGE(C2:C205))/AVERAGE(C2:C205) * 100,0)</f>
        <v>10</v>
      </c>
      <c r="G7" s="1" t="s">
        <v>46</v>
      </c>
      <c r="H7" s="1" t="n">
        <v>4.1</v>
      </c>
      <c r="I7" s="1" t="n">
        <v>4</v>
      </c>
      <c r="J7" s="1" t="n">
        <v>4.1</v>
      </c>
      <c r="K7" s="1" t="n">
        <v>3.8</v>
      </c>
      <c r="L7" s="1" t="n">
        <v>3.7</v>
      </c>
      <c r="M7" s="1" t="n">
        <v>4</v>
      </c>
      <c r="N7" s="1" t="n">
        <v>3.3</v>
      </c>
      <c r="O7" s="0" t="n">
        <v>1850</v>
      </c>
      <c r="P7" s="0" t="n">
        <v>15000</v>
      </c>
      <c r="Q7" s="0" t="n">
        <v>76800</v>
      </c>
      <c r="R7" s="1" t="s">
        <v>47</v>
      </c>
      <c r="S7" s="1" t="s">
        <v>48</v>
      </c>
      <c r="T7" s="5" t="s">
        <v>49</v>
      </c>
      <c r="U7" s="1"/>
      <c r="V7" s="1"/>
      <c r="W7" s="1"/>
    </row>
    <row r="8" customFormat="false" ht="12.8" hidden="false" customHeight="false" outlineLevel="0" collapsed="false">
      <c r="A8" s="1" t="s">
        <v>50</v>
      </c>
      <c r="B8" s="1" t="s">
        <v>51</v>
      </c>
      <c r="C8" s="1" t="n">
        <v>4.1</v>
      </c>
      <c r="D8" s="1" t="n">
        <v>534</v>
      </c>
      <c r="E8" s="1" t="n">
        <v>14</v>
      </c>
      <c r="F8" s="1" t="n">
        <f aca="false">ROUND((C8-AVERAGE(C2:C206))/AVERAGE(C2:C206) * 100,0)</f>
        <v>10</v>
      </c>
      <c r="G8" s="1" t="s">
        <v>52</v>
      </c>
      <c r="H8" s="1" t="n">
        <v>4.1</v>
      </c>
      <c r="I8" s="1" t="n">
        <v>3.9</v>
      </c>
      <c r="J8" s="1" t="n">
        <v>4.1</v>
      </c>
      <c r="K8" s="1" t="n">
        <v>3.8</v>
      </c>
      <c r="L8" s="1" t="n">
        <v>3.7</v>
      </c>
      <c r="M8" s="1" t="n">
        <v>3.9</v>
      </c>
      <c r="N8" s="1" t="n">
        <v>3.6</v>
      </c>
      <c r="O8" s="1" t="n">
        <v>2004</v>
      </c>
      <c r="P8" s="1" t="n">
        <v>5000</v>
      </c>
      <c r="Q8" s="1" t="n">
        <v>5000</v>
      </c>
      <c r="R8" s="6" t="s">
        <v>53</v>
      </c>
      <c r="S8" s="6" t="s">
        <v>32</v>
      </c>
    </row>
    <row r="9" customFormat="false" ht="12.8" hidden="false" customHeight="false" outlineLevel="0" collapsed="false">
      <c r="A9" s="1" t="s">
        <v>54</v>
      </c>
      <c r="B9" s="1" t="s">
        <v>55</v>
      </c>
      <c r="C9" s="1" t="n">
        <v>3.7</v>
      </c>
      <c r="D9" s="1" t="n">
        <v>148</v>
      </c>
      <c r="E9" s="1" t="n">
        <v>0</v>
      </c>
      <c r="F9" s="1" t="n">
        <f aca="false">ROUND((C9-AVERAGE(C2:C207))/AVERAGE(C2:C207) * 100,0)</f>
        <v>-0</v>
      </c>
      <c r="G9" s="1" t="s">
        <v>56</v>
      </c>
      <c r="H9" s="1" t="n">
        <v>3.6</v>
      </c>
      <c r="I9" s="1" t="n">
        <v>3.3</v>
      </c>
      <c r="J9" s="1" t="n">
        <v>4</v>
      </c>
      <c r="K9" s="1" t="n">
        <v>3.4</v>
      </c>
      <c r="L9" s="1" t="n">
        <v>3.8</v>
      </c>
      <c r="M9" s="1" t="n">
        <v>3.7</v>
      </c>
      <c r="N9" s="1" t="n">
        <v>2.7</v>
      </c>
      <c r="O9" s="1" t="n">
        <v>1991</v>
      </c>
      <c r="P9" s="1" t="n">
        <v>50000</v>
      </c>
      <c r="Q9" s="1" t="n">
        <v>160000</v>
      </c>
      <c r="R9" s="6" t="s">
        <v>57</v>
      </c>
      <c r="S9" s="6" t="s">
        <v>32</v>
      </c>
    </row>
    <row r="10" customFormat="false" ht="12.8" hidden="false" customHeight="false" outlineLevel="0" collapsed="false">
      <c r="A10" s="1" t="s">
        <v>54</v>
      </c>
      <c r="B10" s="1" t="s">
        <v>58</v>
      </c>
      <c r="C10" s="1" t="n">
        <v>3.9</v>
      </c>
      <c r="D10" s="1" t="n">
        <v>25300</v>
      </c>
      <c r="E10" s="1" t="n">
        <v>8</v>
      </c>
      <c r="F10" s="1" t="n">
        <f aca="false">ROUND((C10-AVERAGE(C2:C208))/AVERAGE(C2:C208) * 100,0)</f>
        <v>5</v>
      </c>
      <c r="G10" s="1" t="s">
        <v>59</v>
      </c>
      <c r="H10" s="1" t="n">
        <v>3.9</v>
      </c>
      <c r="I10" s="1" t="n">
        <v>3.5</v>
      </c>
      <c r="J10" s="1" t="n">
        <v>4</v>
      </c>
      <c r="K10" s="1" t="n">
        <v>3.6</v>
      </c>
      <c r="L10" s="1" t="n">
        <v>3.9</v>
      </c>
      <c r="M10" s="1" t="n">
        <v>3.9</v>
      </c>
      <c r="N10" s="1" t="n">
        <v>3</v>
      </c>
      <c r="O10" s="1" t="n">
        <v>1911</v>
      </c>
      <c r="P10" s="1" t="n">
        <v>135000</v>
      </c>
      <c r="Q10" s="1" t="n">
        <v>268000</v>
      </c>
      <c r="R10" s="6" t="s">
        <v>57</v>
      </c>
      <c r="S10" s="6" t="s">
        <v>32</v>
      </c>
      <c r="T10" s="6" t="s">
        <v>48</v>
      </c>
    </row>
    <row r="11" customFormat="false" ht="12.8" hidden="false" customHeight="false" outlineLevel="0" collapsed="false">
      <c r="A11" s="1" t="s">
        <v>60</v>
      </c>
      <c r="B11" s="1" t="s">
        <v>61</v>
      </c>
      <c r="C11" s="1" t="n">
        <v>3.1</v>
      </c>
      <c r="D11" s="1" t="n">
        <v>2800</v>
      </c>
      <c r="E11" s="1" t="n">
        <v>-14</v>
      </c>
      <c r="F11" s="1" t="n">
        <f aca="false">ROUND((C11-AVERAGE(C2:C209))/AVERAGE(C2:C209) * 100,0)</f>
        <v>-17</v>
      </c>
      <c r="G11" s="1" t="s">
        <v>62</v>
      </c>
      <c r="H11" s="1" t="n">
        <v>3.1</v>
      </c>
      <c r="I11" s="1" t="n">
        <v>3.6</v>
      </c>
      <c r="J11" s="1" t="n">
        <v>2</v>
      </c>
      <c r="K11" s="1" t="n">
        <v>2.7</v>
      </c>
      <c r="L11" s="1" t="n">
        <v>3.1</v>
      </c>
      <c r="M11" s="1" t="n">
        <v>3.2</v>
      </c>
      <c r="N11" s="1" t="n">
        <v>3</v>
      </c>
      <c r="O11" s="0" t="n">
        <v>1983</v>
      </c>
      <c r="P11" s="0" t="n">
        <v>10400</v>
      </c>
      <c r="Q11" s="0" t="n">
        <v>15000</v>
      </c>
      <c r="R11" s="5" t="s">
        <v>63</v>
      </c>
      <c r="S11" s="5" t="s">
        <v>64</v>
      </c>
      <c r="T11" s="5" t="s">
        <v>32</v>
      </c>
    </row>
    <row r="12" s="1" customFormat="true" ht="12.8" hidden="false" customHeight="false" outlineLevel="0" collapsed="false">
      <c r="A12" s="6" t="s">
        <v>60</v>
      </c>
      <c r="B12" s="6" t="s">
        <v>65</v>
      </c>
      <c r="C12" s="6" t="n">
        <v>3.3</v>
      </c>
      <c r="D12" s="6" t="n">
        <v>120000</v>
      </c>
      <c r="E12" s="6" t="n">
        <v>-8</v>
      </c>
      <c r="F12" s="1" t="n">
        <f aca="false">ROUND((C12-AVERAGE(C2:C210))/AVERAGE(C2:C210) * 100,0)</f>
        <v>-11</v>
      </c>
      <c r="G12" s="6" t="s">
        <v>66</v>
      </c>
      <c r="H12" s="6" t="n">
        <v>3.2</v>
      </c>
      <c r="I12" s="6" t="n">
        <v>2.4</v>
      </c>
      <c r="J12" s="6" t="n">
        <v>3.5</v>
      </c>
      <c r="K12" s="6" t="n">
        <v>3</v>
      </c>
      <c r="L12" s="6" t="n">
        <v>3.2</v>
      </c>
      <c r="M12" s="6" t="n">
        <v>3.8</v>
      </c>
      <c r="N12" s="6" t="n">
        <v>2.3</v>
      </c>
      <c r="O12" s="1" t="n">
        <v>1968</v>
      </c>
      <c r="P12" s="1" t="n">
        <v>550000</v>
      </c>
      <c r="Q12" s="1" t="n">
        <v>584519</v>
      </c>
      <c r="R12" s="1" t="s">
        <v>67</v>
      </c>
      <c r="S12" s="1" t="s">
        <v>32</v>
      </c>
      <c r="T12" s="1" t="s">
        <v>48</v>
      </c>
    </row>
    <row r="13" customFormat="false" ht="12.8" hidden="false" customHeight="false" outlineLevel="0" collapsed="false">
      <c r="A13" s="1" t="s">
        <v>60</v>
      </c>
      <c r="B13" s="1" t="s">
        <v>68</v>
      </c>
      <c r="C13" s="1" t="n">
        <v>3.4</v>
      </c>
      <c r="D13" s="1" t="n">
        <v>46500</v>
      </c>
      <c r="E13" s="1" t="n">
        <v>-6</v>
      </c>
      <c r="F13" s="1" t="n">
        <f aca="false">ROUND((C13-AVERAGE(C2:C211))/AVERAGE(C2:C211) * 100,0)</f>
        <v>-8</v>
      </c>
      <c r="G13" s="1" t="s">
        <v>69</v>
      </c>
      <c r="H13" s="1" t="n">
        <v>3.3</v>
      </c>
      <c r="I13" s="1" t="n">
        <v>2.8</v>
      </c>
      <c r="J13" s="1" t="n">
        <v>3.5</v>
      </c>
      <c r="K13" s="1" t="n">
        <v>3.2</v>
      </c>
      <c r="L13" s="1" t="n">
        <v>3.2</v>
      </c>
      <c r="M13" s="1" t="n">
        <v>3.6</v>
      </c>
      <c r="N13" s="1" t="n">
        <v>2.5</v>
      </c>
      <c r="O13" s="0" t="n">
        <v>1991</v>
      </c>
      <c r="P13" s="0" t="n">
        <v>180000</v>
      </c>
      <c r="Q13" s="0" t="n">
        <v>227181</v>
      </c>
      <c r="R13" s="5" t="s">
        <v>70</v>
      </c>
      <c r="S13" s="5" t="s">
        <v>32</v>
      </c>
      <c r="T13" s="5" t="s">
        <v>71</v>
      </c>
    </row>
    <row r="14" customFormat="false" ht="12.8" hidden="false" customHeight="false" outlineLevel="0" collapsed="false">
      <c r="A14" s="1" t="s">
        <v>72</v>
      </c>
      <c r="B14" s="1" t="s">
        <v>73</v>
      </c>
      <c r="C14" s="1" t="n">
        <v>3.4</v>
      </c>
      <c r="D14" s="1" t="n">
        <v>7400</v>
      </c>
      <c r="E14" s="1" t="n">
        <v>-6</v>
      </c>
      <c r="F14" s="1" t="n">
        <f aca="false">ROUND((C14-AVERAGE(C2:C213))/AVERAGE(C2:C213) * 100,0)</f>
        <v>-8</v>
      </c>
      <c r="G14" s="1" t="s">
        <v>74</v>
      </c>
      <c r="H14" s="1" t="n">
        <v>3.3</v>
      </c>
      <c r="I14" s="1" t="n">
        <v>3.2</v>
      </c>
      <c r="J14" s="1" t="n">
        <v>3.1</v>
      </c>
      <c r="K14" s="1" t="n">
        <v>3.1</v>
      </c>
      <c r="L14" s="1" t="n">
        <v>3.3</v>
      </c>
      <c r="M14" s="1" t="n">
        <v>3.5</v>
      </c>
      <c r="N14" s="1" t="n">
        <v>2.9</v>
      </c>
      <c r="O14" s="0" t="n">
        <v>1993</v>
      </c>
      <c r="P14" s="0" t="n">
        <v>31000</v>
      </c>
      <c r="Q14" s="0" t="n">
        <v>275000</v>
      </c>
      <c r="R14" s="5" t="s">
        <v>75</v>
      </c>
      <c r="S14" s="5" t="s">
        <v>64</v>
      </c>
      <c r="T14" s="5" t="s">
        <v>32</v>
      </c>
    </row>
    <row r="15" customFormat="false" ht="12.8" hidden="false" customHeight="false" outlineLevel="0" collapsed="false">
      <c r="A15" s="1" t="s">
        <v>72</v>
      </c>
      <c r="B15" s="1" t="s">
        <v>76</v>
      </c>
      <c r="C15" s="1" t="n">
        <v>3.3</v>
      </c>
      <c r="D15" s="1" t="n">
        <v>12900</v>
      </c>
      <c r="E15" s="1" t="n">
        <v>-8</v>
      </c>
      <c r="F15" s="1" t="n">
        <f aca="false">ROUND((C15-AVERAGE(C2:C214))/AVERAGE(C2:C214) * 100,0)</f>
        <v>-11</v>
      </c>
      <c r="G15" s="1" t="s">
        <v>77</v>
      </c>
      <c r="H15" s="1" t="n">
        <v>3.2</v>
      </c>
      <c r="I15" s="1" t="n">
        <v>3.3</v>
      </c>
      <c r="J15" s="1" t="n">
        <v>3</v>
      </c>
      <c r="K15" s="1" t="n">
        <v>3</v>
      </c>
      <c r="L15" s="1" t="n">
        <v>3.4</v>
      </c>
      <c r="M15" s="1" t="n">
        <v>3.4</v>
      </c>
      <c r="N15" s="1" t="n">
        <v>2.8</v>
      </c>
      <c r="O15" s="0" t="n">
        <v>1880</v>
      </c>
      <c r="P15" s="0" t="n">
        <v>30000</v>
      </c>
      <c r="Q15" s="0" t="n">
        <v>370000</v>
      </c>
      <c r="R15" s="5" t="s">
        <v>78</v>
      </c>
      <c r="S15" s="5" t="s">
        <v>64</v>
      </c>
      <c r="T15" s="5" t="s">
        <v>79</v>
      </c>
    </row>
    <row r="16" customFormat="false" ht="12.8" hidden="false" customHeight="false" outlineLevel="0" collapsed="false">
      <c r="A16" s="1" t="s">
        <v>72</v>
      </c>
      <c r="B16" s="1" t="s">
        <v>80</v>
      </c>
      <c r="C16" s="1" t="n">
        <v>3.9</v>
      </c>
      <c r="D16" s="1" t="n">
        <v>846</v>
      </c>
      <c r="E16" s="1" t="n">
        <v>8</v>
      </c>
      <c r="F16" s="1" t="n">
        <f aca="false">ROUND((C16-AVERAGE(C2:C215))/AVERAGE(C2:C215) * 100,0)</f>
        <v>5</v>
      </c>
      <c r="G16" s="1" t="s">
        <v>81</v>
      </c>
      <c r="H16" s="1" t="n">
        <v>3.8</v>
      </c>
      <c r="I16" s="1" t="n">
        <v>3.7</v>
      </c>
      <c r="J16" s="1" t="n">
        <v>4.1</v>
      </c>
      <c r="K16" s="1" t="n">
        <v>3.6</v>
      </c>
      <c r="L16" s="1" t="n">
        <v>3.5</v>
      </c>
      <c r="M16" s="1" t="n">
        <v>3.7</v>
      </c>
      <c r="N16" s="1" t="n">
        <v>3.1</v>
      </c>
      <c r="O16" s="4" t="n">
        <v>1930</v>
      </c>
      <c r="P16" s="1" t="n">
        <v>3600</v>
      </c>
      <c r="Q16" s="1" t="n">
        <v>21000</v>
      </c>
      <c r="R16" s="6" t="s">
        <v>82</v>
      </c>
      <c r="S16" s="6" t="s">
        <v>83</v>
      </c>
      <c r="T16" s="6" t="s">
        <v>44</v>
      </c>
    </row>
    <row r="17" customFormat="false" ht="12.8" hidden="false" customHeight="false" outlineLevel="0" collapsed="false">
      <c r="A17" s="1" t="s">
        <v>72</v>
      </c>
      <c r="B17" s="1" t="s">
        <v>84</v>
      </c>
      <c r="C17" s="1" t="n">
        <v>4.7</v>
      </c>
      <c r="D17" s="1" t="n">
        <v>18</v>
      </c>
      <c r="E17" s="1" t="n">
        <v>0</v>
      </c>
      <c r="F17" s="1" t="n">
        <f aca="false">ROUND((C17-AVERAGE(C2:C216))/AVERAGE(C2:C216) * 100,0)</f>
        <v>27</v>
      </c>
      <c r="G17" s="1" t="s">
        <v>85</v>
      </c>
      <c r="H17" s="1" t="n">
        <v>4.7</v>
      </c>
      <c r="I17" s="1" t="n">
        <v>4.4</v>
      </c>
      <c r="J17" s="1" t="n">
        <v>4.7</v>
      </c>
      <c r="K17" s="1" t="n">
        <v>4.5</v>
      </c>
      <c r="L17" s="1" t="n">
        <v>4.4</v>
      </c>
      <c r="M17" s="1" t="n">
        <v>4.6</v>
      </c>
      <c r="N17" s="1" t="n">
        <v>4.2</v>
      </c>
      <c r="O17" s="1" t="n">
        <v>2016</v>
      </c>
      <c r="P17" s="1" t="n">
        <v>140</v>
      </c>
      <c r="Q17" s="1" t="n">
        <v>140</v>
      </c>
      <c r="R17" s="6" t="s">
        <v>86</v>
      </c>
      <c r="S17" s="6" t="s">
        <v>32</v>
      </c>
    </row>
    <row r="18" customFormat="false" ht="12.8" hidden="false" customHeight="false" outlineLevel="0" collapsed="false">
      <c r="A18" s="1" t="s">
        <v>72</v>
      </c>
      <c r="B18" s="1" t="s">
        <v>87</v>
      </c>
      <c r="C18" s="1" t="n">
        <v>3.6</v>
      </c>
      <c r="D18" s="1" t="n">
        <v>42900</v>
      </c>
      <c r="E18" s="1" t="n">
        <v>0</v>
      </c>
      <c r="F18" s="1" t="n">
        <f aca="false">ROUND((C18-AVERAGE(C2:C217))/AVERAGE(C2:C217) * 100,0)</f>
        <v>-3</v>
      </c>
      <c r="G18" s="1" t="s">
        <v>88</v>
      </c>
      <c r="H18" s="1" t="n">
        <v>3.5</v>
      </c>
      <c r="I18" s="1" t="n">
        <v>3</v>
      </c>
      <c r="J18" s="1" t="n">
        <v>3.6</v>
      </c>
      <c r="K18" s="1" t="n">
        <v>3.4</v>
      </c>
      <c r="L18" s="1" t="n">
        <v>3.5</v>
      </c>
      <c r="M18" s="1" t="n">
        <v>3.9</v>
      </c>
      <c r="N18" s="1" t="n">
        <v>2.9</v>
      </c>
      <c r="O18" s="1" t="n">
        <v>1997</v>
      </c>
      <c r="P18" s="1" t="n">
        <v>90000</v>
      </c>
      <c r="Q18" s="4" t="n">
        <v>145000</v>
      </c>
      <c r="R18" s="6" t="s">
        <v>89</v>
      </c>
      <c r="S18" s="6" t="s">
        <v>36</v>
      </c>
      <c r="T18" s="6" t="s">
        <v>48</v>
      </c>
    </row>
    <row r="19" customFormat="false" ht="12.8" hidden="false" customHeight="false" outlineLevel="0" collapsed="false">
      <c r="A19" s="1" t="s">
        <v>72</v>
      </c>
      <c r="B19" s="1" t="s">
        <v>90</v>
      </c>
      <c r="C19" s="1" t="n">
        <v>4.4</v>
      </c>
      <c r="D19" s="1" t="n">
        <v>1900</v>
      </c>
      <c r="E19" s="1" t="n">
        <v>22</v>
      </c>
      <c r="F19" s="1" t="n">
        <f aca="false">ROUND((C19-AVERAGE(C2:C218))/AVERAGE(C2:C218) * 100,0)</f>
        <v>18</v>
      </c>
      <c r="G19" s="1" t="s">
        <v>91</v>
      </c>
      <c r="H19" s="1" t="n">
        <v>4.4</v>
      </c>
      <c r="I19" s="1" t="n">
        <v>4.3</v>
      </c>
      <c r="J19" s="1" t="n">
        <v>4.4</v>
      </c>
      <c r="K19" s="1" t="n">
        <v>4.3</v>
      </c>
      <c r="L19" s="1" t="n">
        <v>4.3</v>
      </c>
      <c r="M19" s="1" t="n">
        <v>4.2</v>
      </c>
      <c r="N19" s="1" t="n">
        <v>4.1</v>
      </c>
      <c r="O19" s="1" t="n">
        <v>1998</v>
      </c>
      <c r="P19" s="1" t="n">
        <v>50000</v>
      </c>
      <c r="Q19" s="6" t="n">
        <v>190820</v>
      </c>
      <c r="R19" s="6" t="s">
        <v>92</v>
      </c>
      <c r="S19" s="6" t="s">
        <v>93</v>
      </c>
    </row>
    <row r="20" customFormat="false" ht="12.8" hidden="false" customHeight="false" outlineLevel="0" collapsed="false">
      <c r="A20" s="1" t="s">
        <v>72</v>
      </c>
      <c r="B20" s="1" t="s">
        <v>94</v>
      </c>
      <c r="C20" s="1" t="n">
        <v>3.9</v>
      </c>
      <c r="D20" s="1" t="n">
        <v>31800</v>
      </c>
      <c r="E20" s="1" t="n">
        <v>8</v>
      </c>
      <c r="F20" s="1" t="n">
        <f aca="false">ROUND((C20-AVERAGE(C2:C219))/AVERAGE(C2:C219) * 100,0)</f>
        <v>5</v>
      </c>
      <c r="G20" s="1" t="s">
        <v>95</v>
      </c>
      <c r="H20" s="1" t="n">
        <v>4</v>
      </c>
      <c r="I20" s="1" t="n">
        <v>3.8</v>
      </c>
      <c r="J20" s="1" t="n">
        <v>3.8</v>
      </c>
      <c r="K20" s="1" t="n">
        <v>3.6</v>
      </c>
      <c r="L20" s="1" t="n">
        <v>3.6</v>
      </c>
      <c r="M20" s="1" t="n">
        <v>3.5</v>
      </c>
      <c r="N20" s="1" t="n">
        <v>3.2</v>
      </c>
      <c r="O20" s="4" t="n">
        <v>1994</v>
      </c>
      <c r="P20" s="1" t="n">
        <v>110000</v>
      </c>
      <c r="Q20" s="4" t="n">
        <v>1576000</v>
      </c>
      <c r="R20" s="6" t="s">
        <v>96</v>
      </c>
      <c r="S20" s="6" t="s">
        <v>44</v>
      </c>
    </row>
    <row r="21" customFormat="false" ht="12.8" hidden="false" customHeight="false" outlineLevel="0" collapsed="false">
      <c r="A21" s="1" t="s">
        <v>97</v>
      </c>
      <c r="B21" s="1" t="s">
        <v>98</v>
      </c>
      <c r="C21" s="1" t="n">
        <v>3.6</v>
      </c>
      <c r="D21" s="1" t="n">
        <v>19</v>
      </c>
      <c r="E21" s="1" t="n">
        <v>0</v>
      </c>
      <c r="F21" s="1" t="n">
        <f aca="false">ROUND((C21-AVERAGE(C2:C220))/AVERAGE(C2:C220) * 100,0)</f>
        <v>-3</v>
      </c>
      <c r="G21" s="1" t="s">
        <v>99</v>
      </c>
      <c r="H21" s="1" t="n">
        <v>3.9</v>
      </c>
      <c r="I21" s="1" t="n">
        <v>3.8</v>
      </c>
      <c r="J21" s="1" t="n">
        <v>3.8</v>
      </c>
      <c r="K21" s="1" t="n">
        <v>3.4</v>
      </c>
      <c r="L21" s="1" t="n">
        <v>3.1</v>
      </c>
      <c r="M21" s="1" t="n">
        <v>2.7</v>
      </c>
      <c r="N21" s="1" t="n">
        <v>2.6</v>
      </c>
      <c r="O21" s="4" t="n">
        <v>2002</v>
      </c>
      <c r="P21" s="1" t="n">
        <v>150</v>
      </c>
      <c r="Q21" s="1" t="n">
        <v>4800</v>
      </c>
      <c r="R21" s="6" t="s">
        <v>100</v>
      </c>
      <c r="S21" s="6" t="s">
        <v>93</v>
      </c>
    </row>
    <row r="22" customFormat="false" ht="12.8" hidden="false" customHeight="false" outlineLevel="0" collapsed="false">
      <c r="A22" s="1" t="s">
        <v>97</v>
      </c>
      <c r="B22" s="1" t="s">
        <v>101</v>
      </c>
      <c r="C22" s="1" t="n">
        <v>4.1</v>
      </c>
      <c r="D22" s="1" t="n">
        <v>1000</v>
      </c>
      <c r="E22" s="1" t="n">
        <v>5</v>
      </c>
      <c r="F22" s="1" t="n">
        <f aca="false">ROUND((C22-AVERAGE(C2:C221))/AVERAGE(C2:C221) * 100,0)</f>
        <v>10</v>
      </c>
      <c r="G22" s="1" t="s">
        <v>102</v>
      </c>
      <c r="H22" s="1" t="n">
        <v>4</v>
      </c>
      <c r="I22" s="1" t="n">
        <v>3.5</v>
      </c>
      <c r="J22" s="1" t="n">
        <v>4.2</v>
      </c>
      <c r="K22" s="1" t="n">
        <v>3.8</v>
      </c>
      <c r="L22" s="1" t="n">
        <v>3.8</v>
      </c>
      <c r="M22" s="1" t="n">
        <v>4.1</v>
      </c>
      <c r="N22" s="1" t="n">
        <v>3.1</v>
      </c>
      <c r="O22" s="4" t="n">
        <v>1847</v>
      </c>
      <c r="P22" s="1" t="n">
        <v>5000</v>
      </c>
      <c r="Q22" s="1" t="n">
        <v>100000</v>
      </c>
      <c r="R22" s="6" t="s">
        <v>103</v>
      </c>
      <c r="S22" s="6" t="s">
        <v>104</v>
      </c>
    </row>
    <row r="23" customFormat="false" ht="12.8" hidden="false" customHeight="false" outlineLevel="0" collapsed="false">
      <c r="A23" s="1" t="s">
        <v>105</v>
      </c>
      <c r="B23" s="1" t="s">
        <v>106</v>
      </c>
      <c r="C23" s="1" t="n">
        <v>3.3</v>
      </c>
      <c r="D23" s="1" t="n">
        <v>108</v>
      </c>
      <c r="E23" s="1" t="n">
        <v>-11</v>
      </c>
      <c r="F23" s="1" t="n">
        <f aca="false">ROUND((C23-AVERAGE(C2:C222))/AVERAGE(C2:C222) * 100,0)</f>
        <v>-11</v>
      </c>
      <c r="G23" s="1" t="s">
        <v>107</v>
      </c>
      <c r="H23" s="1" t="n">
        <v>3.3</v>
      </c>
      <c r="I23" s="1" t="n">
        <v>3</v>
      </c>
      <c r="J23" s="1" t="n">
        <v>3.7</v>
      </c>
      <c r="K23" s="1" t="n">
        <v>3.1</v>
      </c>
      <c r="L23" s="1" t="n">
        <v>3.2</v>
      </c>
      <c r="M23" s="1" t="n">
        <v>3.3</v>
      </c>
      <c r="N23" s="1" t="n">
        <v>2.6</v>
      </c>
      <c r="O23" s="1" t="n">
        <v>1901</v>
      </c>
      <c r="P23" s="1" t="n">
        <v>4000</v>
      </c>
      <c r="Q23" s="4" t="n">
        <v>67000</v>
      </c>
      <c r="R23" s="6" t="s">
        <v>108</v>
      </c>
      <c r="S23" s="6" t="s">
        <v>109</v>
      </c>
    </row>
    <row r="24" customFormat="false" ht="12.8" hidden="false" customHeight="false" outlineLevel="0" collapsed="false">
      <c r="A24" s="1" t="s">
        <v>105</v>
      </c>
      <c r="B24" s="1" t="s">
        <v>110</v>
      </c>
      <c r="C24" s="1" t="n">
        <v>4.1</v>
      </c>
      <c r="D24" s="1" t="n">
        <v>521</v>
      </c>
      <c r="E24" s="1" t="n">
        <v>14</v>
      </c>
      <c r="F24" s="1" t="n">
        <f aca="false">ROUND((C24-AVERAGE(C2:C223))/AVERAGE(C2:C223) * 100,0)</f>
        <v>10</v>
      </c>
      <c r="G24" s="1" t="s">
        <v>111</v>
      </c>
      <c r="H24" s="1" t="n">
        <v>4</v>
      </c>
      <c r="I24" s="1" t="n">
        <v>4.3</v>
      </c>
      <c r="J24" s="1" t="n">
        <v>4.1</v>
      </c>
      <c r="K24" s="1" t="n">
        <v>4</v>
      </c>
      <c r="L24" s="1" t="n">
        <v>4.1</v>
      </c>
      <c r="M24" s="1" t="n">
        <v>3.9</v>
      </c>
      <c r="N24" s="1" t="n">
        <v>4</v>
      </c>
      <c r="O24" s="1" t="n">
        <v>2020</v>
      </c>
      <c r="P24" s="1" t="n">
        <v>500</v>
      </c>
      <c r="Q24" s="1" t="n">
        <v>5000</v>
      </c>
      <c r="R24" s="6" t="s">
        <v>112</v>
      </c>
      <c r="S24" s="6" t="s">
        <v>113</v>
      </c>
    </row>
    <row r="25" customFormat="false" ht="12.8" hidden="false" customHeight="false" outlineLevel="0" collapsed="false">
      <c r="A25" s="1" t="s">
        <v>105</v>
      </c>
      <c r="B25" s="1" t="s">
        <v>114</v>
      </c>
      <c r="C25" s="1" t="n">
        <v>3.3</v>
      </c>
      <c r="D25" s="1" t="n">
        <v>729</v>
      </c>
      <c r="E25" s="1" t="n">
        <v>-8</v>
      </c>
      <c r="F25" s="1" t="n">
        <f aca="false">ROUND((C25-AVERAGE(C2:C224))/AVERAGE(C2:C224) * 100,0)</f>
        <v>-11</v>
      </c>
      <c r="G25" s="1" t="s">
        <v>115</v>
      </c>
      <c r="H25" s="1" t="n">
        <v>3.4</v>
      </c>
      <c r="I25" s="1" t="n">
        <v>3.2</v>
      </c>
      <c r="J25" s="1" t="n">
        <v>2.9</v>
      </c>
      <c r="K25" s="1" t="n">
        <v>3.1</v>
      </c>
      <c r="L25" s="1" t="n">
        <v>3.6</v>
      </c>
      <c r="M25" s="1" t="n">
        <v>3.4</v>
      </c>
      <c r="N25" s="1" t="n">
        <v>2.8</v>
      </c>
      <c r="O25" s="1" t="n">
        <v>2013</v>
      </c>
      <c r="P25" s="1" t="n">
        <v>5000</v>
      </c>
      <c r="Q25" s="1" t="n">
        <v>5000</v>
      </c>
      <c r="R25" s="6" t="s">
        <v>116</v>
      </c>
      <c r="S25" s="6" t="s">
        <v>32</v>
      </c>
    </row>
    <row r="26" customFormat="false" ht="12.8" hidden="false" customHeight="false" outlineLevel="0" collapsed="false">
      <c r="A26" s="1" t="s">
        <v>117</v>
      </c>
      <c r="B26" s="4" t="s">
        <v>118</v>
      </c>
      <c r="C26" s="1" t="n">
        <v>3.6</v>
      </c>
      <c r="D26" s="1" t="n">
        <v>54300</v>
      </c>
      <c r="E26" s="1" t="n">
        <v>0</v>
      </c>
      <c r="F26" s="1" t="n">
        <f aca="false">ROUND((C26-AVERAGE(C2:C225))/AVERAGE(C2:C225) * 100,0)</f>
        <v>-3</v>
      </c>
      <c r="G26" s="1" t="s">
        <v>119</v>
      </c>
      <c r="H26" s="1" t="n">
        <v>3.6</v>
      </c>
      <c r="I26" s="1" t="n">
        <v>3</v>
      </c>
      <c r="J26" s="1" t="n">
        <v>3.8</v>
      </c>
      <c r="K26" s="1" t="n">
        <v>3.4</v>
      </c>
      <c r="L26" s="1" t="n">
        <v>3.6</v>
      </c>
      <c r="M26" s="1" t="n">
        <v>3.8</v>
      </c>
      <c r="N26" s="1" t="n">
        <v>2.8</v>
      </c>
      <c r="O26" s="1" t="n">
        <v>1967</v>
      </c>
      <c r="P26" s="1" t="n">
        <v>100000</v>
      </c>
      <c r="Q26" s="1" t="n">
        <v>100000</v>
      </c>
      <c r="R26" s="6" t="s">
        <v>120</v>
      </c>
      <c r="S26" s="6" t="s">
        <v>32</v>
      </c>
    </row>
    <row r="27" customFormat="false" ht="12.8" hidden="false" customHeight="false" outlineLevel="0" collapsed="false">
      <c r="A27" s="1" t="s">
        <v>117</v>
      </c>
      <c r="B27" s="1" t="s">
        <v>121</v>
      </c>
      <c r="C27" s="1" t="n">
        <v>4.6</v>
      </c>
      <c r="D27" s="1" t="n">
        <v>28</v>
      </c>
      <c r="E27" s="1" t="n">
        <v>31</v>
      </c>
      <c r="F27" s="1" t="n">
        <f aca="false">ROUND((C27-AVERAGE(C2:C226))/AVERAGE(C2:C226) * 100,0)</f>
        <v>24</v>
      </c>
      <c r="G27" s="1" t="s">
        <v>122</v>
      </c>
      <c r="H27" s="1" t="n">
        <v>4.6</v>
      </c>
      <c r="I27" s="1" t="n">
        <v>4.3</v>
      </c>
      <c r="J27" s="1" t="n">
        <v>4.6</v>
      </c>
      <c r="K27" s="1" t="n">
        <v>4.5</v>
      </c>
      <c r="L27" s="1" t="n">
        <v>4.3</v>
      </c>
      <c r="M27" s="1" t="n">
        <v>3.9</v>
      </c>
      <c r="N27" s="1" t="n">
        <v>3.8</v>
      </c>
      <c r="O27" s="4" t="n">
        <v>1832</v>
      </c>
      <c r="P27" s="1" t="n">
        <v>1000</v>
      </c>
      <c r="Q27" s="1" t="n">
        <v>4300</v>
      </c>
      <c r="R27" s="6" t="s">
        <v>123</v>
      </c>
      <c r="S27" s="6" t="s">
        <v>124</v>
      </c>
    </row>
    <row r="28" customFormat="false" ht="12.8" hidden="false" customHeight="false" outlineLevel="0" collapsed="false">
      <c r="A28" s="1" t="s">
        <v>117</v>
      </c>
      <c r="B28" s="1" t="s">
        <v>125</v>
      </c>
      <c r="C28" s="1" t="n">
        <v>4.1</v>
      </c>
      <c r="D28" s="1" t="n">
        <v>1600</v>
      </c>
      <c r="E28" s="1" t="n">
        <v>17</v>
      </c>
      <c r="F28" s="1" t="n">
        <f aca="false">ROUND((C28-AVERAGE(C2:C227))/AVERAGE(C2:C227) * 100,0)</f>
        <v>10</v>
      </c>
      <c r="G28" s="1" t="s">
        <v>126</v>
      </c>
      <c r="H28" s="1" t="n">
        <v>4</v>
      </c>
      <c r="I28" s="1" t="n">
        <v>3.9</v>
      </c>
      <c r="J28" s="1" t="n">
        <v>4.3</v>
      </c>
      <c r="K28" s="1" t="n">
        <v>3.9</v>
      </c>
      <c r="L28" s="1" t="n">
        <v>3.9</v>
      </c>
      <c r="M28" s="1" t="n">
        <v>3.2</v>
      </c>
      <c r="N28" s="1" t="n">
        <v>3.4</v>
      </c>
      <c r="O28" s="1" t="n">
        <v>2005</v>
      </c>
      <c r="P28" s="1" t="n">
        <v>1000</v>
      </c>
      <c r="Q28" s="1" t="n">
        <v>5000</v>
      </c>
      <c r="R28" s="6" t="s">
        <v>127</v>
      </c>
      <c r="S28" s="6" t="s">
        <v>124</v>
      </c>
    </row>
    <row r="29" customFormat="false" ht="12.8" hidden="false" customHeight="false" outlineLevel="0" collapsed="false">
      <c r="A29" s="1" t="s">
        <v>117</v>
      </c>
      <c r="B29" s="1" t="s">
        <v>128</v>
      </c>
      <c r="C29" s="1" t="n">
        <v>4.5</v>
      </c>
      <c r="D29" s="1" t="n">
        <v>7</v>
      </c>
      <c r="E29" s="1" t="n">
        <v>29</v>
      </c>
      <c r="F29" s="1" t="n">
        <f aca="false">ROUND((C29-AVERAGE(C2:C228))/AVERAGE(C2:C228) * 100,0)</f>
        <v>21</v>
      </c>
      <c r="G29" s="1" t="s">
        <v>129</v>
      </c>
      <c r="H29" s="1" t="n">
        <v>4.5</v>
      </c>
      <c r="I29" s="1" t="n">
        <v>4.3</v>
      </c>
      <c r="J29" s="1" t="n">
        <v>4.8</v>
      </c>
      <c r="K29" s="1" t="n">
        <v>4.5</v>
      </c>
      <c r="L29" s="1" t="n">
        <v>3.4</v>
      </c>
      <c r="M29" s="1" t="n">
        <v>2.2</v>
      </c>
      <c r="N29" s="1" t="n">
        <v>3.4</v>
      </c>
      <c r="O29" s="1" t="n">
        <v>2008</v>
      </c>
      <c r="P29" s="6" t="n">
        <v>50</v>
      </c>
      <c r="Q29" s="1" t="n">
        <v>200</v>
      </c>
      <c r="R29" s="6" t="s">
        <v>130</v>
      </c>
      <c r="S29" s="6" t="s">
        <v>124</v>
      </c>
    </row>
    <row r="30" customFormat="false" ht="12.8" hidden="false" customHeight="false" outlineLevel="0" collapsed="false">
      <c r="A30" s="1" t="s">
        <v>131</v>
      </c>
      <c r="B30" s="1" t="s">
        <v>132</v>
      </c>
      <c r="C30" s="1" t="n">
        <v>3.2</v>
      </c>
      <c r="D30" s="1" t="n">
        <v>1000</v>
      </c>
      <c r="E30" s="1" t="n">
        <v>-11</v>
      </c>
      <c r="F30" s="1" t="n">
        <f aca="false">ROUND((C30-AVERAGE(C2:C229))/AVERAGE(C2:C229) * 100,0)</f>
        <v>-14</v>
      </c>
      <c r="G30" s="1" t="s">
        <v>133</v>
      </c>
      <c r="H30" s="1" t="n">
        <v>3.1</v>
      </c>
      <c r="I30" s="1" t="n">
        <v>3.2</v>
      </c>
      <c r="J30" s="1" t="n">
        <v>3.4</v>
      </c>
      <c r="K30" s="1" t="n">
        <v>3.1</v>
      </c>
      <c r="L30" s="1" t="n">
        <v>3.1</v>
      </c>
      <c r="M30" s="1" t="n">
        <v>3</v>
      </c>
      <c r="N30" s="1" t="n">
        <v>2.8</v>
      </c>
      <c r="O30" s="1" t="n">
        <v>2003</v>
      </c>
      <c r="P30" s="1" t="n">
        <v>5000</v>
      </c>
      <c r="Q30" s="1" t="n">
        <v>10000</v>
      </c>
      <c r="R30" s="6" t="s">
        <v>134</v>
      </c>
      <c r="S30" s="6" t="s">
        <v>32</v>
      </c>
    </row>
    <row r="31" customFormat="false" ht="12.8" hidden="false" customHeight="false" outlineLevel="0" collapsed="false">
      <c r="A31" s="1" t="s">
        <v>131</v>
      </c>
      <c r="B31" s="1" t="s">
        <v>135</v>
      </c>
      <c r="C31" s="1" t="n">
        <v>3.6</v>
      </c>
      <c r="D31" s="1" t="n">
        <v>517</v>
      </c>
      <c r="E31" s="1" t="n">
        <v>0</v>
      </c>
      <c r="F31" s="1" t="n">
        <f aca="false">ROUND((C31-AVERAGE(C2:C230))/AVERAGE(C2:C230) * 100,0)</f>
        <v>-3</v>
      </c>
      <c r="G31" s="1" t="s">
        <v>136</v>
      </c>
      <c r="H31" s="1" t="n">
        <v>3.6</v>
      </c>
      <c r="I31" s="1" t="n">
        <v>3.7</v>
      </c>
      <c r="J31" s="1" t="n">
        <v>3.3</v>
      </c>
      <c r="K31" s="1" t="n">
        <v>3.4</v>
      </c>
      <c r="L31" s="1" t="n">
        <v>3.5</v>
      </c>
      <c r="M31" s="1" t="n">
        <v>3.4</v>
      </c>
      <c r="N31" s="1" t="n">
        <v>2.9</v>
      </c>
      <c r="O31" s="1" t="n">
        <v>1963</v>
      </c>
      <c r="P31" s="1" t="n">
        <v>5000</v>
      </c>
      <c r="Q31" s="1" t="n">
        <v>50000</v>
      </c>
      <c r="R31" s="6" t="s">
        <v>137</v>
      </c>
      <c r="S31" s="6" t="s">
        <v>64</v>
      </c>
    </row>
    <row r="32" customFormat="false" ht="12.8" hidden="false" customHeight="false" outlineLevel="0" collapsed="false">
      <c r="A32" s="1" t="s">
        <v>131</v>
      </c>
      <c r="B32" s="1" t="s">
        <v>138</v>
      </c>
      <c r="C32" s="1" t="n">
        <v>3.9</v>
      </c>
      <c r="D32" s="1" t="n">
        <v>3200</v>
      </c>
      <c r="E32" s="1" t="n">
        <v>8</v>
      </c>
      <c r="F32" s="1" t="n">
        <f aca="false">ROUND((C32-AVERAGE(C2:C231))/AVERAGE(C2:C231) * 100,0)</f>
        <v>5</v>
      </c>
      <c r="G32" s="1" t="s">
        <v>139</v>
      </c>
      <c r="H32" s="1" t="n">
        <v>4.1</v>
      </c>
      <c r="I32" s="1" t="n">
        <v>3.6</v>
      </c>
      <c r="J32" s="1" t="n">
        <v>4.1</v>
      </c>
      <c r="K32" s="1" t="n">
        <v>3.6</v>
      </c>
      <c r="L32" s="1" t="n">
        <v>3.5</v>
      </c>
      <c r="M32" s="1" t="n">
        <v>3.5</v>
      </c>
      <c r="N32" s="1" t="n">
        <v>3</v>
      </c>
      <c r="O32" s="1" t="n">
        <v>1860</v>
      </c>
      <c r="P32" s="1" t="n">
        <v>50000</v>
      </c>
      <c r="Q32" s="1" t="n">
        <v>50000</v>
      </c>
      <c r="R32" s="6" t="s">
        <v>140</v>
      </c>
      <c r="S32" s="6" t="s">
        <v>36</v>
      </c>
    </row>
    <row r="33" customFormat="false" ht="12.8" hidden="false" customHeight="false" outlineLevel="0" collapsed="false">
      <c r="A33" s="1" t="s">
        <v>131</v>
      </c>
      <c r="B33" s="1" t="s">
        <v>141</v>
      </c>
      <c r="C33" s="1" t="n">
        <v>3.6</v>
      </c>
      <c r="D33" s="1" t="n">
        <v>399</v>
      </c>
      <c r="E33" s="1" t="n">
        <v>0</v>
      </c>
      <c r="F33" s="1" t="n">
        <f aca="false">ROUND((C33-AVERAGE(C2:C232))/AVERAGE(C2:C232) * 100,0)</f>
        <v>-3</v>
      </c>
      <c r="G33" s="1" t="s">
        <v>142</v>
      </c>
      <c r="H33" s="1" t="n">
        <v>3.3</v>
      </c>
      <c r="I33" s="1" t="n">
        <v>3.6</v>
      </c>
      <c r="J33" s="1" t="n">
        <v>3.5</v>
      </c>
      <c r="K33" s="1" t="n">
        <v>3.2</v>
      </c>
      <c r="L33" s="1" t="n">
        <v>3.3</v>
      </c>
      <c r="M33" s="1" t="n">
        <v>3.3</v>
      </c>
      <c r="N33" s="1" t="n">
        <v>3.1</v>
      </c>
      <c r="O33" s="1" t="n">
        <v>1999</v>
      </c>
      <c r="P33" s="1" t="n">
        <v>5000</v>
      </c>
      <c r="Q33" s="1" t="n">
        <v>5000</v>
      </c>
      <c r="R33" s="6" t="s">
        <v>143</v>
      </c>
      <c r="S33" s="6" t="s">
        <v>144</v>
      </c>
    </row>
    <row r="34" customFormat="false" ht="12.8" hidden="false" customHeight="false" outlineLevel="0" collapsed="false">
      <c r="A34" s="1" t="s">
        <v>131</v>
      </c>
      <c r="B34" s="1" t="s">
        <v>145</v>
      </c>
      <c r="C34" s="1" t="n">
        <v>3.6</v>
      </c>
      <c r="D34" s="1" t="n">
        <v>8700</v>
      </c>
      <c r="E34" s="1" t="n">
        <v>0</v>
      </c>
      <c r="F34" s="1" t="n">
        <f aca="false">ROUND((C34-AVERAGE(C2:C233))/AVERAGE(C2:C233) * 100,0)</f>
        <v>-3</v>
      </c>
      <c r="G34" s="1" t="s">
        <v>146</v>
      </c>
      <c r="H34" s="1" t="n">
        <v>3.5</v>
      </c>
      <c r="I34" s="1" t="n">
        <v>3.1</v>
      </c>
      <c r="J34" s="1" t="n">
        <v>3.7</v>
      </c>
      <c r="K34" s="1" t="n">
        <v>3.4</v>
      </c>
      <c r="L34" s="1" t="n">
        <v>3.3</v>
      </c>
      <c r="M34" s="1" t="n">
        <v>3.9</v>
      </c>
      <c r="N34" s="1" t="n">
        <v>2.9</v>
      </c>
      <c r="O34" s="1" t="n">
        <v>1999</v>
      </c>
      <c r="P34" s="1" t="n">
        <v>50000</v>
      </c>
      <c r="Q34" s="1" t="n">
        <v>100000</v>
      </c>
      <c r="R34" s="6" t="s">
        <v>147</v>
      </c>
      <c r="S34" s="6" t="s">
        <v>32</v>
      </c>
    </row>
    <row r="35" customFormat="false" ht="12.8" hidden="false" customHeight="false" outlineLevel="0" collapsed="false">
      <c r="A35" s="1" t="s">
        <v>148</v>
      </c>
      <c r="B35" s="1" t="s">
        <v>149</v>
      </c>
      <c r="C35" s="1" t="n">
        <v>4</v>
      </c>
      <c r="D35" s="1" t="n">
        <v>8100</v>
      </c>
      <c r="E35" s="1" t="n">
        <v>11</v>
      </c>
      <c r="F35" s="1" t="n">
        <f aca="false">ROUND((C35-AVERAGE(C2:C234))/AVERAGE(C2:C234) * 100,0)</f>
        <v>8</v>
      </c>
      <c r="G35" s="1" t="s">
        <v>150</v>
      </c>
      <c r="H35" s="1" t="n">
        <v>4</v>
      </c>
      <c r="I35" s="1" t="n">
        <v>3.5</v>
      </c>
      <c r="J35" s="1" t="n">
        <v>4.1</v>
      </c>
      <c r="K35" s="1" t="n">
        <v>3.8</v>
      </c>
      <c r="L35" s="1" t="n">
        <v>3.7</v>
      </c>
      <c r="M35" s="1" t="n">
        <v>4.2</v>
      </c>
      <c r="N35" s="1" t="n">
        <v>3.1</v>
      </c>
      <c r="O35" s="1" t="n">
        <v>2002</v>
      </c>
      <c r="P35" s="1" t="n">
        <v>50000</v>
      </c>
      <c r="Q35" s="1" t="n">
        <v>100000</v>
      </c>
      <c r="R35" s="6" t="s">
        <v>151</v>
      </c>
      <c r="S35" s="6" t="s">
        <v>32</v>
      </c>
    </row>
    <row r="36" customFormat="false" ht="12.8" hidden="false" customHeight="false" outlineLevel="0" collapsed="false">
      <c r="A36" s="1" t="s">
        <v>152</v>
      </c>
      <c r="B36" s="1" t="s">
        <v>51</v>
      </c>
      <c r="C36" s="1" t="n">
        <v>4</v>
      </c>
      <c r="D36" s="1" t="n">
        <v>564</v>
      </c>
      <c r="E36" s="1" t="n">
        <v>11</v>
      </c>
      <c r="F36" s="1" t="n">
        <f aca="false">ROUND((C36-AVERAGE(C2:C234))/AVERAGE(C2:C234) * 100,0)</f>
        <v>8</v>
      </c>
      <c r="G36" s="1" t="s">
        <v>52</v>
      </c>
      <c r="H36" s="1" t="n">
        <v>4.1</v>
      </c>
      <c r="I36" s="1" t="n">
        <v>3.9</v>
      </c>
      <c r="J36" s="1" t="n">
        <v>4.1</v>
      </c>
      <c r="K36" s="1" t="n">
        <v>3.8</v>
      </c>
      <c r="L36" s="1" t="n">
        <v>3.7</v>
      </c>
      <c r="M36" s="1" t="n">
        <v>3.9</v>
      </c>
      <c r="N36" s="1" t="n">
        <v>3.6</v>
      </c>
      <c r="O36" s="1" t="n">
        <v>2004</v>
      </c>
      <c r="P36" s="1" t="n">
        <v>5000</v>
      </c>
      <c r="Q36" s="1" t="n">
        <v>5000</v>
      </c>
      <c r="R36" s="6" t="s">
        <v>53</v>
      </c>
      <c r="S36" s="6" t="s">
        <v>32</v>
      </c>
    </row>
    <row r="37" customFormat="false" ht="12.8" hidden="false" customHeight="false" outlineLevel="0" collapsed="false">
      <c r="A37" s="1" t="s">
        <v>152</v>
      </c>
      <c r="B37" s="1" t="s">
        <v>23</v>
      </c>
      <c r="C37" s="1" t="n">
        <v>2.7</v>
      </c>
      <c r="D37" s="1" t="n">
        <v>802</v>
      </c>
      <c r="E37" s="1" t="n">
        <v>-25</v>
      </c>
      <c r="F37" s="1" t="n">
        <f aca="false">ROUND((C37-AVERAGE(C2:C235))/AVERAGE(C2:C235) * 100,0)</f>
        <v>-27</v>
      </c>
      <c r="G37" s="1" t="s">
        <v>24</v>
      </c>
      <c r="H37" s="1" t="n">
        <v>2.6</v>
      </c>
      <c r="I37" s="1" t="n">
        <v>2.9</v>
      </c>
      <c r="J37" s="1" t="n">
        <v>2.6</v>
      </c>
      <c r="K37" s="1" t="n">
        <v>2.5</v>
      </c>
      <c r="L37" s="1" t="n">
        <v>2.7</v>
      </c>
      <c r="M37" s="1" t="n">
        <v>2.9</v>
      </c>
      <c r="N37" s="1" t="n">
        <v>2.6</v>
      </c>
      <c r="O37" s="1" t="n">
        <v>2010</v>
      </c>
      <c r="P37" s="1" t="n">
        <v>3600</v>
      </c>
      <c r="Q37" s="1" t="n">
        <v>3600</v>
      </c>
      <c r="R37" s="6" t="s">
        <v>25</v>
      </c>
      <c r="S37" s="6" t="s">
        <v>26</v>
      </c>
      <c r="U37" s="6" t="s">
        <v>27</v>
      </c>
      <c r="V37" s="6" t="s">
        <v>28</v>
      </c>
    </row>
    <row r="38" customFormat="false" ht="12.8" hidden="false" customHeight="false" outlineLevel="0" collapsed="false">
      <c r="A38" s="1" t="s">
        <v>152</v>
      </c>
      <c r="B38" s="1" t="s">
        <v>29</v>
      </c>
      <c r="C38" s="1" t="n">
        <v>3.5</v>
      </c>
      <c r="D38" s="1" t="n">
        <v>49600</v>
      </c>
      <c r="E38" s="1" t="n">
        <v>-3</v>
      </c>
      <c r="F38" s="1" t="n">
        <f aca="false">ROUND((C38-AVERAGE(C2:C236))/AVERAGE(C2:C236) * 100,0)</f>
        <v>-6</v>
      </c>
      <c r="G38" s="1" t="s">
        <v>30</v>
      </c>
      <c r="H38" s="1" t="n">
        <v>3.6</v>
      </c>
      <c r="I38" s="1" t="n">
        <v>2.7</v>
      </c>
      <c r="J38" s="1" t="n">
        <v>3.6</v>
      </c>
      <c r="K38" s="1" t="n">
        <v>3.3</v>
      </c>
      <c r="L38" s="1" t="n">
        <v>3.5</v>
      </c>
      <c r="M38" s="1" t="n">
        <v>3.9</v>
      </c>
      <c r="N38" s="1" t="n">
        <v>2.6</v>
      </c>
      <c r="O38" s="1" t="n">
        <v>1981</v>
      </c>
      <c r="P38" s="1" t="n">
        <v>100000</v>
      </c>
      <c r="Q38" s="1" t="n">
        <v>100000</v>
      </c>
      <c r="R38" s="1" t="s">
        <v>31</v>
      </c>
      <c r="S38" s="1" t="s">
        <v>32</v>
      </c>
      <c r="U38" s="1"/>
      <c r="V38" s="1"/>
      <c r="W38" s="1"/>
    </row>
    <row r="39" customFormat="false" ht="12.8" hidden="false" customHeight="false" outlineLevel="0" collapsed="false">
      <c r="A39" s="1" t="s">
        <v>152</v>
      </c>
      <c r="B39" s="4" t="s">
        <v>153</v>
      </c>
      <c r="C39" s="1" t="n">
        <v>3.5</v>
      </c>
      <c r="D39" s="1" t="n">
        <v>1500</v>
      </c>
      <c r="E39" s="1" t="n">
        <v>-3</v>
      </c>
      <c r="F39" s="1" t="n">
        <f aca="false">ROUND((C39-AVERAGE(C2:C237))/AVERAGE(C2:C237) * 100,0)</f>
        <v>-6</v>
      </c>
      <c r="G39" s="1" t="s">
        <v>154</v>
      </c>
      <c r="H39" s="1" t="n">
        <v>3.5</v>
      </c>
      <c r="I39" s="1" t="n">
        <v>3.7</v>
      </c>
      <c r="J39" s="1" t="n">
        <v>3.6</v>
      </c>
      <c r="K39" s="1" t="n">
        <v>3.3</v>
      </c>
      <c r="L39" s="1" t="n">
        <v>3.5</v>
      </c>
      <c r="M39" s="1" t="n">
        <v>3</v>
      </c>
      <c r="N39" s="1" t="n">
        <v>3</v>
      </c>
      <c r="O39" s="4" t="n">
        <v>2012</v>
      </c>
      <c r="P39" s="1" t="n">
        <v>5000</v>
      </c>
      <c r="Q39" s="1" t="n">
        <v>10000</v>
      </c>
      <c r="R39" s="6" t="s">
        <v>155</v>
      </c>
      <c r="S39" s="1" t="s">
        <v>32</v>
      </c>
    </row>
    <row r="40" customFormat="false" ht="12.8" hidden="false" customHeight="false" outlineLevel="0" collapsed="false">
      <c r="A40" s="1" t="s">
        <v>152</v>
      </c>
      <c r="B40" s="1" t="s">
        <v>156</v>
      </c>
      <c r="C40" s="1" t="s">
        <v>157</v>
      </c>
      <c r="D40" s="1" t="s">
        <v>157</v>
      </c>
      <c r="E40" s="1" t="s">
        <v>157</v>
      </c>
      <c r="F40" s="1" t="s">
        <v>157</v>
      </c>
      <c r="G40" s="1" t="s">
        <v>158</v>
      </c>
      <c r="H40" s="1" t="s">
        <v>157</v>
      </c>
      <c r="I40" s="1" t="s">
        <v>157</v>
      </c>
      <c r="J40" s="1" t="s">
        <v>157</v>
      </c>
      <c r="K40" s="1" t="s">
        <v>157</v>
      </c>
      <c r="L40" s="1" t="s">
        <v>157</v>
      </c>
      <c r="M40" s="1" t="s">
        <v>157</v>
      </c>
      <c r="N40" s="6" t="s">
        <v>157</v>
      </c>
      <c r="O40" s="1" t="n">
        <v>2017</v>
      </c>
      <c r="P40" s="6" t="s">
        <v>157</v>
      </c>
      <c r="Q40" s="1" t="n">
        <v>50</v>
      </c>
      <c r="R40" s="6" t="s">
        <v>159</v>
      </c>
      <c r="S40" s="6" t="s">
        <v>124</v>
      </c>
    </row>
    <row r="41" customFormat="false" ht="12.8" hidden="false" customHeight="false" outlineLevel="0" collapsed="false">
      <c r="A41" s="1" t="s">
        <v>152</v>
      </c>
      <c r="B41" s="1" t="s">
        <v>33</v>
      </c>
      <c r="C41" s="1" t="n">
        <v>3.7</v>
      </c>
      <c r="D41" s="1" t="n">
        <v>74800</v>
      </c>
      <c r="E41" s="1" t="n">
        <v>3</v>
      </c>
      <c r="F41" s="1" t="n">
        <f aca="false">ROUND((C41-AVERAGE(C2:C239))/AVERAGE(C2:C239) * 100,0)</f>
        <v>-0</v>
      </c>
      <c r="G41" s="1" t="s">
        <v>34</v>
      </c>
      <c r="H41" s="1" t="n">
        <v>3.7</v>
      </c>
      <c r="I41" s="1" t="n">
        <v>3.2</v>
      </c>
      <c r="J41" s="1" t="n">
        <v>3.6</v>
      </c>
      <c r="K41" s="1" t="n">
        <v>3.4</v>
      </c>
      <c r="L41" s="1" t="n">
        <v>3.6</v>
      </c>
      <c r="M41" s="1" t="n">
        <v>3.6</v>
      </c>
      <c r="N41" s="1" t="n">
        <v>2.8</v>
      </c>
      <c r="O41" s="1" t="n">
        <v>1989</v>
      </c>
      <c r="P41" s="1" t="n">
        <v>300000</v>
      </c>
      <c r="Q41" s="1" t="n">
        <v>799000</v>
      </c>
      <c r="R41" s="6" t="s">
        <v>35</v>
      </c>
      <c r="S41" s="6" t="s">
        <v>32</v>
      </c>
      <c r="T41" s="6" t="s">
        <v>36</v>
      </c>
    </row>
    <row r="42" customFormat="false" ht="12.8" hidden="false" customHeight="false" outlineLevel="0" collapsed="false">
      <c r="A42" s="1" t="s">
        <v>152</v>
      </c>
      <c r="B42" s="1" t="s">
        <v>37</v>
      </c>
      <c r="C42" s="1" t="n">
        <v>3.7</v>
      </c>
      <c r="D42" s="1" t="n">
        <v>62400</v>
      </c>
      <c r="E42" s="1" t="n">
        <v>0</v>
      </c>
      <c r="F42" s="1" t="n">
        <f aca="false">ROUND((C42-AVERAGE(C2:C240))/AVERAGE(C2:C240) * 100,0)</f>
        <v>-0</v>
      </c>
      <c r="G42" s="1" t="s">
        <v>38</v>
      </c>
      <c r="H42" s="1" t="n">
        <v>3.5</v>
      </c>
      <c r="I42" s="1" t="n">
        <v>3.2</v>
      </c>
      <c r="J42" s="1" t="n">
        <v>3.6</v>
      </c>
      <c r="K42" s="1" t="n">
        <v>3.4</v>
      </c>
      <c r="L42" s="1" t="n">
        <v>3.6</v>
      </c>
      <c r="M42" s="1" t="n">
        <v>3.6</v>
      </c>
      <c r="N42" s="1" t="n">
        <v>2.9</v>
      </c>
      <c r="O42" s="1" t="n">
        <v>1994</v>
      </c>
      <c r="P42" s="1" t="n">
        <v>256000</v>
      </c>
      <c r="Q42" s="1" t="n">
        <v>357600</v>
      </c>
      <c r="R42" s="6" t="s">
        <v>39</v>
      </c>
      <c r="S42" s="6" t="s">
        <v>32</v>
      </c>
      <c r="T42" s="6" t="s">
        <v>40</v>
      </c>
    </row>
    <row r="43" customFormat="false" ht="12.8" hidden="false" customHeight="false" outlineLevel="0" collapsed="false">
      <c r="A43" s="1" t="s">
        <v>152</v>
      </c>
      <c r="B43" s="1" t="s">
        <v>58</v>
      </c>
      <c r="C43" s="1" t="n">
        <v>3.9</v>
      </c>
      <c r="D43" s="1" t="n">
        <v>26100</v>
      </c>
      <c r="E43" s="1" t="n">
        <v>8</v>
      </c>
      <c r="F43" s="1" t="n">
        <f aca="false">ROUND((C43-AVERAGE(C2:C241))/AVERAGE(C2:C241) * 100,0)</f>
        <v>5</v>
      </c>
      <c r="G43" s="1" t="s">
        <v>59</v>
      </c>
      <c r="H43" s="1" t="n">
        <v>3.9</v>
      </c>
      <c r="I43" s="1" t="n">
        <v>3.5</v>
      </c>
      <c r="J43" s="1" t="n">
        <v>4</v>
      </c>
      <c r="K43" s="1" t="n">
        <v>3.6</v>
      </c>
      <c r="L43" s="1" t="n">
        <v>3.9</v>
      </c>
      <c r="M43" s="1" t="n">
        <v>3.9</v>
      </c>
      <c r="N43" s="1" t="n">
        <v>3</v>
      </c>
      <c r="O43" s="1" t="n">
        <v>1911</v>
      </c>
      <c r="P43" s="1" t="n">
        <v>135000</v>
      </c>
      <c r="Q43" s="1" t="n">
        <v>268000</v>
      </c>
      <c r="R43" s="6" t="s">
        <v>57</v>
      </c>
      <c r="S43" s="6" t="s">
        <v>32</v>
      </c>
      <c r="T43" s="6" t="s">
        <v>48</v>
      </c>
    </row>
    <row r="44" customFormat="false" ht="12.8" hidden="false" customHeight="false" outlineLevel="0" collapsed="false">
      <c r="A44" s="1" t="s">
        <v>152</v>
      </c>
      <c r="B44" s="1" t="s">
        <v>55</v>
      </c>
      <c r="C44" s="1" t="n">
        <v>3.7</v>
      </c>
      <c r="D44" s="1" t="n">
        <v>163</v>
      </c>
      <c r="E44" s="1" t="n">
        <v>0</v>
      </c>
      <c r="F44" s="1" t="n">
        <f aca="false">ROUND((C44-AVERAGE(C2:C242))/AVERAGE(C2:C242) * 100,0)</f>
        <v>-0</v>
      </c>
      <c r="G44" s="1" t="s">
        <v>56</v>
      </c>
      <c r="H44" s="1" t="n">
        <v>3.6</v>
      </c>
      <c r="I44" s="1" t="n">
        <v>3.3</v>
      </c>
      <c r="J44" s="1" t="n">
        <v>4</v>
      </c>
      <c r="K44" s="1" t="n">
        <v>3.4</v>
      </c>
      <c r="L44" s="1" t="n">
        <v>3.8</v>
      </c>
      <c r="M44" s="1" t="n">
        <v>3.7</v>
      </c>
      <c r="N44" s="1" t="n">
        <v>2.7</v>
      </c>
      <c r="O44" s="1" t="n">
        <v>1991</v>
      </c>
      <c r="P44" s="1" t="n">
        <v>50000</v>
      </c>
      <c r="Q44" s="1" t="n">
        <v>160000</v>
      </c>
      <c r="R44" s="6" t="s">
        <v>57</v>
      </c>
      <c r="S44" s="6" t="s">
        <v>32</v>
      </c>
    </row>
    <row r="45" customFormat="false" ht="12.8" hidden="false" customHeight="false" outlineLevel="0" collapsed="false">
      <c r="A45" s="1" t="s">
        <v>160</v>
      </c>
      <c r="B45" s="1" t="s">
        <v>41</v>
      </c>
      <c r="C45" s="1" t="n">
        <v>3.9</v>
      </c>
      <c r="D45" s="1" t="n">
        <v>4800</v>
      </c>
      <c r="E45" s="1" t="n">
        <v>8</v>
      </c>
      <c r="F45" s="1" t="n">
        <f aca="false">ROUND((C45-AVERAGE(C41:C243))/AVERAGE(C41:C243) * 100,0)</f>
        <v>5</v>
      </c>
      <c r="G45" s="1" t="s">
        <v>42</v>
      </c>
      <c r="H45" s="1" t="n">
        <v>3.9</v>
      </c>
      <c r="I45" s="1" t="n">
        <v>3.7</v>
      </c>
      <c r="J45" s="1" t="n">
        <v>3.6</v>
      </c>
      <c r="K45" s="1" t="n">
        <v>3.6</v>
      </c>
      <c r="L45" s="1" t="n">
        <v>3.7</v>
      </c>
      <c r="M45" s="1" t="n">
        <v>3.6</v>
      </c>
      <c r="N45" s="1" t="n">
        <v>3.3</v>
      </c>
      <c r="O45" s="0" t="n">
        <v>1996</v>
      </c>
      <c r="P45" s="0" t="n">
        <v>13000</v>
      </c>
      <c r="Q45" s="0" t="n">
        <v>18500</v>
      </c>
      <c r="R45" s="1" t="s">
        <v>43</v>
      </c>
      <c r="S45" s="1" t="s">
        <v>32</v>
      </c>
      <c r="T45" s="5" t="s">
        <v>44</v>
      </c>
      <c r="U45" s="1"/>
      <c r="V45" s="1"/>
      <c r="W45" s="1"/>
    </row>
    <row r="46" customFormat="false" ht="12.8" hidden="false" customHeight="false" outlineLevel="0" collapsed="false">
      <c r="A46" s="1" t="s">
        <v>160</v>
      </c>
      <c r="B46" s="1" t="s">
        <v>45</v>
      </c>
      <c r="C46" s="1" t="n">
        <v>4.1</v>
      </c>
      <c r="D46" s="1" t="n">
        <v>3900</v>
      </c>
      <c r="E46" s="1" t="n">
        <v>11</v>
      </c>
      <c r="F46" s="1" t="n">
        <f aca="false">ROUND((C46-AVERAGE(C2:C244))/AVERAGE(C2:C244) * 100,0)</f>
        <v>10</v>
      </c>
      <c r="G46" s="1" t="s">
        <v>46</v>
      </c>
      <c r="H46" s="1" t="n">
        <v>4.1</v>
      </c>
      <c r="I46" s="1" t="n">
        <v>4</v>
      </c>
      <c r="J46" s="1" t="n">
        <v>4.1</v>
      </c>
      <c r="K46" s="1" t="n">
        <v>3.8</v>
      </c>
      <c r="L46" s="1" t="n">
        <v>3.7</v>
      </c>
      <c r="M46" s="1" t="n">
        <v>4</v>
      </c>
      <c r="N46" s="0" t="n">
        <v>3.3</v>
      </c>
      <c r="O46" s="0" t="n">
        <v>1850</v>
      </c>
      <c r="P46" s="0" t="n">
        <v>15000</v>
      </c>
      <c r="Q46" s="0" t="n">
        <v>76800</v>
      </c>
      <c r="R46" s="5" t="s">
        <v>47</v>
      </c>
      <c r="S46" s="5" t="s">
        <v>48</v>
      </c>
      <c r="T46" s="5" t="s">
        <v>49</v>
      </c>
    </row>
    <row r="47" customFormat="false" ht="12.8" hidden="false" customHeight="false" outlineLevel="0" collapsed="false">
      <c r="A47" s="1" t="s">
        <v>160</v>
      </c>
      <c r="B47" s="1" t="s">
        <v>61</v>
      </c>
      <c r="C47" s="1" t="n">
        <v>3</v>
      </c>
      <c r="D47" s="1" t="n">
        <v>2800</v>
      </c>
      <c r="E47" s="1" t="n">
        <v>-17</v>
      </c>
      <c r="F47" s="1" t="n">
        <f aca="false">ROUND((C47-AVERAGE(C2:C245))/AVERAGE(C2:C245) * 100,0)</f>
        <v>-19</v>
      </c>
      <c r="G47" s="1" t="s">
        <v>62</v>
      </c>
      <c r="H47" s="1" t="n">
        <v>3.1</v>
      </c>
      <c r="I47" s="1" t="n">
        <v>3.6</v>
      </c>
      <c r="J47" s="1" t="n">
        <v>2</v>
      </c>
      <c r="K47" s="1" t="n">
        <v>2.7</v>
      </c>
      <c r="L47" s="1" t="n">
        <v>3.1</v>
      </c>
      <c r="M47" s="1" t="n">
        <v>3.2</v>
      </c>
      <c r="N47" s="1" t="n">
        <v>3</v>
      </c>
      <c r="O47" s="0" t="n">
        <v>1983</v>
      </c>
      <c r="P47" s="0" t="n">
        <v>10400</v>
      </c>
      <c r="Q47" s="0" t="n">
        <v>15000</v>
      </c>
      <c r="R47" s="5" t="s">
        <v>63</v>
      </c>
      <c r="S47" s="5" t="s">
        <v>64</v>
      </c>
      <c r="T47" s="5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P24" activeCellId="0" sqref="P24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2026-06-27T08:37:11Z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